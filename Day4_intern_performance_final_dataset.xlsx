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HARANIYA\Downloads\"/>
    </mc:Choice>
  </mc:AlternateContent>
  <xr:revisionPtr revIDLastSave="0" documentId="8_{53481E55-91A3-446D-A26E-2A0440155B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 Performance Data" sheetId="1" r:id="rId1"/>
    <sheet name="Preprocessing Notes" sheetId="2" r:id="rId2"/>
    <sheet name="EDA Summary" sheetId="3" r:id="rId3"/>
  </sheets>
  <definedNames>
    <definedName name="_xlnm._FilterDatabase" localSheetId="0" hidden="1">'Intern Performance Data'!$A$1:$O$151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2" i="1" l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3" i="1"/>
  <c r="P2" i="1"/>
  <c r="L153" i="1"/>
  <c r="L154" i="1"/>
  <c r="L155" i="1"/>
</calcChain>
</file>

<file path=xl/sharedStrings.xml><?xml version="1.0" encoding="utf-8"?>
<sst xmlns="http://schemas.openxmlformats.org/spreadsheetml/2006/main" count="1242" uniqueCount="406">
  <si>
    <t>Intern_ID</t>
  </si>
  <si>
    <t>Name</t>
  </si>
  <si>
    <t>Department</t>
  </si>
  <si>
    <t>Role</t>
  </si>
  <si>
    <t>Start_Date</t>
  </si>
  <si>
    <t>End_Date</t>
  </si>
  <si>
    <t>Attendance_%</t>
  </si>
  <si>
    <t>Tasks_Assigned</t>
  </si>
  <si>
    <t>Tasks_Completed</t>
  </si>
  <si>
    <t>Completion_Rate_%</t>
  </si>
  <si>
    <t>Avg_Task_Time_Hours</t>
  </si>
  <si>
    <t>Performance_Score</t>
  </si>
  <si>
    <t>Mentor_Feedback</t>
  </si>
  <si>
    <t>Skill_Level</t>
  </si>
  <si>
    <t>Stipend</t>
  </si>
  <si>
    <t>INT001</t>
  </si>
  <si>
    <t>Meera</t>
  </si>
  <si>
    <t>Marketing</t>
  </si>
  <si>
    <t>HR Intern</t>
  </si>
  <si>
    <t>2025-04-16</t>
  </si>
  <si>
    <t>2025-06-20</t>
  </si>
  <si>
    <t>Excellent</t>
  </si>
  <si>
    <t>Beginner</t>
  </si>
  <si>
    <t>INT002</t>
  </si>
  <si>
    <t>Finance</t>
  </si>
  <si>
    <t>Marketing Intern</t>
  </si>
  <si>
    <t>2025-02-18</t>
  </si>
  <si>
    <t>2025-04-25</t>
  </si>
  <si>
    <t>Needs Improvement</t>
  </si>
  <si>
    <t>INT003</t>
  </si>
  <si>
    <t>Data Science</t>
  </si>
  <si>
    <t>Backend Intern</t>
  </si>
  <si>
    <t>2025-07-20</t>
  </si>
  <si>
    <t>2025-09-28</t>
  </si>
  <si>
    <t>INT004</t>
  </si>
  <si>
    <t>Aarav</t>
  </si>
  <si>
    <t>2025-02-12</t>
  </si>
  <si>
    <t>2025-05-02</t>
  </si>
  <si>
    <t>Good</t>
  </si>
  <si>
    <t>Intermediate</t>
  </si>
  <si>
    <t>INT005</t>
  </si>
  <si>
    <t>2025-01-06</t>
  </si>
  <si>
    <t>2025-02-25</t>
  </si>
  <si>
    <t>Average</t>
  </si>
  <si>
    <t>Advanced</t>
  </si>
  <si>
    <t>INT006</t>
  </si>
  <si>
    <t>2025-03-27</t>
  </si>
  <si>
    <t>2025-05-01</t>
  </si>
  <si>
    <t>INT007</t>
  </si>
  <si>
    <t>Sneha</t>
  </si>
  <si>
    <t>Frontend Intern</t>
  </si>
  <si>
    <t>2025-07-02</t>
  </si>
  <si>
    <t>2025-09-16</t>
  </si>
  <si>
    <t>INT008</t>
  </si>
  <si>
    <t>2025-01-13</t>
  </si>
  <si>
    <t>2025-03-14</t>
  </si>
  <si>
    <t>INT009</t>
  </si>
  <si>
    <t>Diya</t>
  </si>
  <si>
    <t>Data Analyst</t>
  </si>
  <si>
    <t>2025-05-30</t>
  </si>
  <si>
    <t>2025-08-15</t>
  </si>
  <si>
    <t>INT010</t>
  </si>
  <si>
    <t>Vikram</t>
  </si>
  <si>
    <t>HR</t>
  </si>
  <si>
    <t>2025-06-26</t>
  </si>
  <si>
    <t>2025-08-13</t>
  </si>
  <si>
    <t>INT011</t>
  </si>
  <si>
    <t>2025-02-23</t>
  </si>
  <si>
    <t>2025-04-22</t>
  </si>
  <si>
    <t>INT012</t>
  </si>
  <si>
    <t>IT</t>
  </si>
  <si>
    <t>2025-02-28</t>
  </si>
  <si>
    <t>2025-04-01</t>
  </si>
  <si>
    <t>INT013</t>
  </si>
  <si>
    <t>2025-05-26</t>
  </si>
  <si>
    <t>2025-08-05</t>
  </si>
  <si>
    <t>INT014</t>
  </si>
  <si>
    <t>Rohan</t>
  </si>
  <si>
    <t>2025-01-28</t>
  </si>
  <si>
    <t>2025-03-22</t>
  </si>
  <si>
    <t>INT015</t>
  </si>
  <si>
    <t>2025-07-11</t>
  </si>
  <si>
    <t>2025-08-30</t>
  </si>
  <si>
    <t>INT016</t>
  </si>
  <si>
    <t>Arjun</t>
  </si>
  <si>
    <t>2025-01-17</t>
  </si>
  <si>
    <t>2025-03-24</t>
  </si>
  <si>
    <t>INT017</t>
  </si>
  <si>
    <t>2025-02-21</t>
  </si>
  <si>
    <t>2025-03-26</t>
  </si>
  <si>
    <t>INT018</t>
  </si>
  <si>
    <t>2025-03-23</t>
  </si>
  <si>
    <t>2025-05-17</t>
  </si>
  <si>
    <t>INT019</t>
  </si>
  <si>
    <t>2025-03-30</t>
  </si>
  <si>
    <t>2025-05-19</t>
  </si>
  <si>
    <t>INT020</t>
  </si>
  <si>
    <t>2025-01-27</t>
  </si>
  <si>
    <t>2025-04-11</t>
  </si>
  <si>
    <t>INT021</t>
  </si>
  <si>
    <t>Karthik</t>
  </si>
  <si>
    <t>2025-09-03</t>
  </si>
  <si>
    <t>INT022</t>
  </si>
  <si>
    <t>2025-02-15</t>
  </si>
  <si>
    <t>2025-04-13</t>
  </si>
  <si>
    <t>INT023</t>
  </si>
  <si>
    <t>2025-04-08</t>
  </si>
  <si>
    <t>2025-07-06</t>
  </si>
  <si>
    <t>INT024</t>
  </si>
  <si>
    <t>2025-02-08</t>
  </si>
  <si>
    <t>INT025</t>
  </si>
  <si>
    <t>2025-03-01</t>
  </si>
  <si>
    <t>2025-05-05</t>
  </si>
  <si>
    <t>INT026</t>
  </si>
  <si>
    <t>2025-04-24</t>
  </si>
  <si>
    <t>2025-06-27</t>
  </si>
  <si>
    <t>INT027</t>
  </si>
  <si>
    <t>2025-01-22</t>
  </si>
  <si>
    <t>INT028</t>
  </si>
  <si>
    <t>2025-01-08</t>
  </si>
  <si>
    <t>2025-02-20</t>
  </si>
  <si>
    <t>INT029</t>
  </si>
  <si>
    <t>2025-06-22</t>
  </si>
  <si>
    <t>INT030</t>
  </si>
  <si>
    <t>2025-07-10</t>
  </si>
  <si>
    <t>2025-10-08</t>
  </si>
  <si>
    <t>INT031</t>
  </si>
  <si>
    <t>INT032</t>
  </si>
  <si>
    <t>2025-07-01</t>
  </si>
  <si>
    <t>2025-09-15</t>
  </si>
  <si>
    <t>INT033</t>
  </si>
  <si>
    <t>2025-05-20</t>
  </si>
  <si>
    <t>2025-08-07</t>
  </si>
  <si>
    <t>INT034</t>
  </si>
  <si>
    <t>2025-01-20</t>
  </si>
  <si>
    <t>2025-04-12</t>
  </si>
  <si>
    <t>INT035</t>
  </si>
  <si>
    <t>2025-04-21</t>
  </si>
  <si>
    <t>INT036</t>
  </si>
  <si>
    <t>2025-06-12</t>
  </si>
  <si>
    <t>2025-09-08</t>
  </si>
  <si>
    <t>INT037</t>
  </si>
  <si>
    <t>2025-03-16</t>
  </si>
  <si>
    <t>INT038</t>
  </si>
  <si>
    <t>INT039</t>
  </si>
  <si>
    <t>2025-08-23</t>
  </si>
  <si>
    <t>INT040</t>
  </si>
  <si>
    <t>2025-06-29</t>
  </si>
  <si>
    <t>2025-08-14</t>
  </si>
  <si>
    <t>INT041</t>
  </si>
  <si>
    <t>2025-04-06</t>
  </si>
  <si>
    <t>INT042</t>
  </si>
  <si>
    <t>2025-07-04</t>
  </si>
  <si>
    <t>INT043</t>
  </si>
  <si>
    <t>Priya</t>
  </si>
  <si>
    <t>2025-01-18</t>
  </si>
  <si>
    <t>2025-04-04</t>
  </si>
  <si>
    <t>INT044</t>
  </si>
  <si>
    <t>2025-06-08</t>
  </si>
  <si>
    <t>2025-07-21</t>
  </si>
  <si>
    <t>INT045</t>
  </si>
  <si>
    <t>2025-05-13</t>
  </si>
  <si>
    <t>INT046</t>
  </si>
  <si>
    <t>2025-06-07</t>
  </si>
  <si>
    <t>INT047</t>
  </si>
  <si>
    <t>Ananya</t>
  </si>
  <si>
    <t>2025-03-28</t>
  </si>
  <si>
    <t>INT048</t>
  </si>
  <si>
    <t>INT049</t>
  </si>
  <si>
    <t>2025-05-22</t>
  </si>
  <si>
    <t>INT050</t>
  </si>
  <si>
    <t>2025-05-24</t>
  </si>
  <si>
    <t>INT051</t>
  </si>
  <si>
    <t>2025-05-18</t>
  </si>
  <si>
    <t>2025-07-19</t>
  </si>
  <si>
    <t>INT052</t>
  </si>
  <si>
    <t>2025-05-03</t>
  </si>
  <si>
    <t>INT053</t>
  </si>
  <si>
    <t>2025-06-15</t>
  </si>
  <si>
    <t>2025-07-29</t>
  </si>
  <si>
    <t>INT054</t>
  </si>
  <si>
    <t>2025-05-31</t>
  </si>
  <si>
    <t>2025-07-07</t>
  </si>
  <si>
    <t>INT055</t>
  </si>
  <si>
    <t>2025-01-12</t>
  </si>
  <si>
    <t>2025-03-19</t>
  </si>
  <si>
    <t>INT056</t>
  </si>
  <si>
    <t>2025-04-10</t>
  </si>
  <si>
    <t>2025-06-30</t>
  </si>
  <si>
    <t>INT057</t>
  </si>
  <si>
    <t>INT058</t>
  </si>
  <si>
    <t>2025-03-04</t>
  </si>
  <si>
    <t>INT059</t>
  </si>
  <si>
    <t>2025-05-27</t>
  </si>
  <si>
    <t>2025-08-17</t>
  </si>
  <si>
    <t>INT060</t>
  </si>
  <si>
    <t>2025-06-09</t>
  </si>
  <si>
    <t>INT061</t>
  </si>
  <si>
    <t>INT062</t>
  </si>
  <si>
    <t>2025-03-13</t>
  </si>
  <si>
    <t>2025-06-03</t>
  </si>
  <si>
    <t>INT063</t>
  </si>
  <si>
    <t>2025-09-19</t>
  </si>
  <si>
    <t>INT064</t>
  </si>
  <si>
    <t>2025-09-05</t>
  </si>
  <si>
    <t>INT065</t>
  </si>
  <si>
    <t>INT066</t>
  </si>
  <si>
    <t>2025-01-03</t>
  </si>
  <si>
    <t>2025-02-16</t>
  </si>
  <si>
    <t>INT067</t>
  </si>
  <si>
    <t>2025-06-04</t>
  </si>
  <si>
    <t>INT068</t>
  </si>
  <si>
    <t>INT069</t>
  </si>
  <si>
    <t>2025-06-06</t>
  </si>
  <si>
    <t>INT070</t>
  </si>
  <si>
    <t>2025-08-06</t>
  </si>
  <si>
    <t>INT071</t>
  </si>
  <si>
    <t>2025-06-13</t>
  </si>
  <si>
    <t>2025-08-08</t>
  </si>
  <si>
    <t>INT072</t>
  </si>
  <si>
    <t>INT073</t>
  </si>
  <si>
    <t>2025-07-27</t>
  </si>
  <si>
    <t>INT074</t>
  </si>
  <si>
    <t>INT075</t>
  </si>
  <si>
    <t>2025-03-09</t>
  </si>
  <si>
    <t>2025-05-11</t>
  </si>
  <si>
    <t>INT076</t>
  </si>
  <si>
    <t>2025-04-23</t>
  </si>
  <si>
    <t>INT077</t>
  </si>
  <si>
    <t>2025-01-02</t>
  </si>
  <si>
    <t>2025-02-06</t>
  </si>
  <si>
    <t>INT078</t>
  </si>
  <si>
    <t>INT079</t>
  </si>
  <si>
    <t>2025-06-19</t>
  </si>
  <si>
    <t>INT080</t>
  </si>
  <si>
    <t>2025-02-01</t>
  </si>
  <si>
    <t>2025-04-30</t>
  </si>
  <si>
    <t>INT081</t>
  </si>
  <si>
    <t>2025-01-21</t>
  </si>
  <si>
    <t>INT082</t>
  </si>
  <si>
    <t>2025-06-23</t>
  </si>
  <si>
    <t>2025-09-07</t>
  </si>
  <si>
    <t>INT083</t>
  </si>
  <si>
    <t>2025-02-13</t>
  </si>
  <si>
    <t>2025-04-17</t>
  </si>
  <si>
    <t>INT084</t>
  </si>
  <si>
    <t>2025-01-15</t>
  </si>
  <si>
    <t>2025-03-15</t>
  </si>
  <si>
    <t>INT085</t>
  </si>
  <si>
    <t>2025-01-14</t>
  </si>
  <si>
    <t>2025-03-12</t>
  </si>
  <si>
    <t>INT086</t>
  </si>
  <si>
    <t>2025-08-31</t>
  </si>
  <si>
    <t>INT087</t>
  </si>
  <si>
    <t>2025-07-09</t>
  </si>
  <si>
    <t>2025-09-01</t>
  </si>
  <si>
    <t>INT088</t>
  </si>
  <si>
    <t>INT089</t>
  </si>
  <si>
    <t>2025-01-16</t>
  </si>
  <si>
    <t>2025-02-19</t>
  </si>
  <si>
    <t>INT090</t>
  </si>
  <si>
    <t>2025-06-01</t>
  </si>
  <si>
    <t>INT091</t>
  </si>
  <si>
    <t>2025-07-13</t>
  </si>
  <si>
    <t>2025-09-29</t>
  </si>
  <si>
    <t>INT092</t>
  </si>
  <si>
    <t>2025-01-24</t>
  </si>
  <si>
    <t>INT093</t>
  </si>
  <si>
    <t>2025-08-28</t>
  </si>
  <si>
    <t>INT094</t>
  </si>
  <si>
    <t>2025-03-21</t>
  </si>
  <si>
    <t>2025-06-05</t>
  </si>
  <si>
    <t>INT095</t>
  </si>
  <si>
    <t>2025-05-14</t>
  </si>
  <si>
    <t>2025-07-12</t>
  </si>
  <si>
    <t>INT096</t>
  </si>
  <si>
    <t>2025-05-04</t>
  </si>
  <si>
    <t>2025-07-22</t>
  </si>
  <si>
    <t>INT097</t>
  </si>
  <si>
    <t>2025-03-11</t>
  </si>
  <si>
    <t>INT098</t>
  </si>
  <si>
    <t>2025-02-14</t>
  </si>
  <si>
    <t>2025-04-09</t>
  </si>
  <si>
    <t>INT099</t>
  </si>
  <si>
    <t>2025-04-29</t>
  </si>
  <si>
    <t>INT100</t>
  </si>
  <si>
    <t>2025-01-07</t>
  </si>
  <si>
    <t>2025-02-24</t>
  </si>
  <si>
    <t>INT101</t>
  </si>
  <si>
    <t>INT102</t>
  </si>
  <si>
    <t>INT103</t>
  </si>
  <si>
    <t>INT104</t>
  </si>
  <si>
    <t>INT105</t>
  </si>
  <si>
    <t>2025-07-08</t>
  </si>
  <si>
    <t>2025-09-30</t>
  </si>
  <si>
    <t>INT106</t>
  </si>
  <si>
    <t>2025-04-02</t>
  </si>
  <si>
    <t>INT107</t>
  </si>
  <si>
    <t>2025-01-30</t>
  </si>
  <si>
    <t>INT108</t>
  </si>
  <si>
    <t>INT109</t>
  </si>
  <si>
    <t>INT110</t>
  </si>
  <si>
    <t>INT111</t>
  </si>
  <si>
    <t>2025-06-25</t>
  </si>
  <si>
    <t>2025-09-13</t>
  </si>
  <si>
    <t>INT112</t>
  </si>
  <si>
    <t>INT113</t>
  </si>
  <si>
    <t>INT114</t>
  </si>
  <si>
    <t>INT115</t>
  </si>
  <si>
    <t>INT116</t>
  </si>
  <si>
    <t>2025-02-03</t>
  </si>
  <si>
    <t>INT117</t>
  </si>
  <si>
    <t>2025-05-06</t>
  </si>
  <si>
    <t>INT118</t>
  </si>
  <si>
    <t>2025-04-07</t>
  </si>
  <si>
    <t>INT119</t>
  </si>
  <si>
    <t>2025-04-15</t>
  </si>
  <si>
    <t>INT120</t>
  </si>
  <si>
    <t>2025-08-16</t>
  </si>
  <si>
    <t>INT121</t>
  </si>
  <si>
    <t>INT122</t>
  </si>
  <si>
    <t>INT123</t>
  </si>
  <si>
    <t>2025-03-05</t>
  </si>
  <si>
    <t>INT124</t>
  </si>
  <si>
    <t>2025-05-16</t>
  </si>
  <si>
    <t>INT125</t>
  </si>
  <si>
    <t>INT126</t>
  </si>
  <si>
    <t>INT127</t>
  </si>
  <si>
    <t>2025-06-11</t>
  </si>
  <si>
    <t>INT128</t>
  </si>
  <si>
    <t>2025-07-23</t>
  </si>
  <si>
    <t>INT129</t>
  </si>
  <si>
    <t>2025-08-01</t>
  </si>
  <si>
    <t>INT130</t>
  </si>
  <si>
    <t>2025-08-19</t>
  </si>
  <si>
    <t>INT131</t>
  </si>
  <si>
    <t>2025-03-06</t>
  </si>
  <si>
    <t>INT132</t>
  </si>
  <si>
    <t>2025-03-10</t>
  </si>
  <si>
    <t>INT133</t>
  </si>
  <si>
    <t>2025-01-23</t>
  </si>
  <si>
    <t>INT134</t>
  </si>
  <si>
    <t>2025-03-20</t>
  </si>
  <si>
    <t>INT135</t>
  </si>
  <si>
    <t>2025-06-24</t>
  </si>
  <si>
    <t>INT136</t>
  </si>
  <si>
    <t>2025-01-25</t>
  </si>
  <si>
    <t>INT137</t>
  </si>
  <si>
    <t>2025-07-31</t>
  </si>
  <si>
    <t>INT138</t>
  </si>
  <si>
    <t>2025-01-04</t>
  </si>
  <si>
    <t>INT139</t>
  </si>
  <si>
    <t>2025-07-05</t>
  </si>
  <si>
    <t>2025-08-26</t>
  </si>
  <si>
    <t>INT140</t>
  </si>
  <si>
    <t>INT141</t>
  </si>
  <si>
    <t>2025-04-27</t>
  </si>
  <si>
    <t>2025-07-17</t>
  </si>
  <si>
    <t>INT142</t>
  </si>
  <si>
    <t>2025-07-16</t>
  </si>
  <si>
    <t>INT143</t>
  </si>
  <si>
    <t>INT144</t>
  </si>
  <si>
    <t>2025-06-28</t>
  </si>
  <si>
    <t>INT145</t>
  </si>
  <si>
    <t>2025-02-17</t>
  </si>
  <si>
    <t>2025-04-18</t>
  </si>
  <si>
    <t>INT146</t>
  </si>
  <si>
    <t>INT147</t>
  </si>
  <si>
    <t>2025-09-10</t>
  </si>
  <si>
    <t>INT148</t>
  </si>
  <si>
    <t>2025-02-09</t>
  </si>
  <si>
    <t>2025-03-29</t>
  </si>
  <si>
    <t>INT149</t>
  </si>
  <si>
    <t>INT150</t>
  </si>
  <si>
    <t>2025-02-10</t>
  </si>
  <si>
    <t>2025-03-31</t>
  </si>
  <si>
    <t>1. No missing values found in dataset</t>
  </si>
  <si>
    <t>2. Converted Start_Date and End_Date to date format</t>
  </si>
  <si>
    <t>3. Verified consistency of Completion Rate</t>
  </si>
  <si>
    <t>4. Checked logical ranges for Attendance and Performance Score</t>
  </si>
  <si>
    <t>5. Confirmed uniqueness using Intern_ID</t>
  </si>
  <si>
    <t>6.Converted date columns into standard format (YYYY-MM-DD) for consistency and analysis.</t>
  </si>
  <si>
    <t>Average performance is __.</t>
  </si>
  <si>
    <t>EDA Summary</t>
  </si>
  <si>
    <t xml:space="preserve">is </t>
  </si>
  <si>
    <t>Lowest score is</t>
  </si>
  <si>
    <t xml:space="preserve">Top intern is </t>
  </si>
  <si>
    <t>1. Reviewed the cleaned dataset to understand the structure and key variables.</t>
  </si>
  <si>
    <t>2. Identified important columns such as performance score, attendance, and working hours.</t>
  </si>
  <si>
    <t>3. Calculated basic statistics including average, maximum, and minimum values.</t>
  </si>
  <si>
    <t>4. Sorted the dataset to identify top and low-performing interns.</t>
  </si>
  <si>
    <t>DAY 3</t>
  </si>
  <si>
    <t>Preprocessing Steps:</t>
  </si>
  <si>
    <t>DAY 2</t>
  </si>
  <si>
    <t>Higher task completion contributes to better performance.</t>
  </si>
  <si>
    <t>Few interns have significantly higher performance compared to others.</t>
  </si>
  <si>
    <t>The average performance score is high among interns.</t>
  </si>
  <si>
    <t>Avg:</t>
  </si>
  <si>
    <t>Max:</t>
  </si>
  <si>
    <t>Min:</t>
  </si>
  <si>
    <t>Performance_Category</t>
  </si>
  <si>
    <t>Day 4</t>
  </si>
  <si>
    <t>Top performing interns</t>
  </si>
  <si>
    <t>Average completion rate</t>
  </si>
  <si>
    <t>Interns with low attendance</t>
  </si>
  <si>
    <t>Performance distribution (High/Medium/Low)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</si>
</sst>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5"/>
  <sheetViews>
    <sheetView tabSelected="1" workbookViewId="0">
      <selection activeCell="P1" sqref="P1:P1048576"/>
    </sheetView>
  </sheetViews>
  <sheetFormatPr defaultRowHeight="14.4" x14ac:dyDescent="0.3"/>
  <cols>
    <col min="5" max="6" width="10.33203125" style="2" bestFit="1" customWidth="1"/>
    <col min="16" max="16" width="8.88671875" style="5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11</v>
      </c>
      <c r="M1" t="s">
        <v>12</v>
      </c>
      <c r="N1" t="s">
        <v>13</v>
      </c>
      <c r="O1" t="s">
        <v>14</v>
      </c>
      <c r="P1" s="5" t="s">
        <v>400</v>
      </c>
    </row>
    <row r="2" spans="1:16" x14ac:dyDescent="0.3">
      <c r="A2" t="s">
        <v>307</v>
      </c>
      <c r="B2" t="s">
        <v>62</v>
      </c>
      <c r="C2" t="s">
        <v>70</v>
      </c>
      <c r="D2" t="s">
        <v>31</v>
      </c>
      <c r="E2" s="2" t="s">
        <v>161</v>
      </c>
      <c r="F2" s="2" t="s">
        <v>263</v>
      </c>
      <c r="G2">
        <v>91.09</v>
      </c>
      <c r="H2">
        <v>88</v>
      </c>
      <c r="I2">
        <v>25</v>
      </c>
      <c r="J2">
        <v>28.41</v>
      </c>
      <c r="K2">
        <v>2.48</v>
      </c>
      <c r="L2" s="4">
        <v>99.88</v>
      </c>
      <c r="M2" t="s">
        <v>43</v>
      </c>
      <c r="N2" t="s">
        <v>44</v>
      </c>
      <c r="O2">
        <v>14225</v>
      </c>
      <c r="P2" s="5" t="str">
        <f>IF(L2&gt;=80,"High",IF(L2&gt;=50,"Medium","Low"))</f>
        <v>High</v>
      </c>
    </row>
    <row r="3" spans="1:16" x14ac:dyDescent="0.3">
      <c r="A3" t="s">
        <v>53</v>
      </c>
      <c r="B3" t="s">
        <v>49</v>
      </c>
      <c r="C3" t="s">
        <v>30</v>
      </c>
      <c r="D3" t="s">
        <v>18</v>
      </c>
      <c r="E3" s="2" t="s">
        <v>54</v>
      </c>
      <c r="F3" s="2" t="s">
        <v>55</v>
      </c>
      <c r="G3">
        <v>97.27</v>
      </c>
      <c r="H3">
        <v>95</v>
      </c>
      <c r="I3">
        <v>70</v>
      </c>
      <c r="J3">
        <v>73.680000000000007</v>
      </c>
      <c r="K3">
        <v>3.47</v>
      </c>
      <c r="L3" s="4">
        <v>99.67</v>
      </c>
      <c r="M3" t="s">
        <v>38</v>
      </c>
      <c r="N3" t="s">
        <v>39</v>
      </c>
      <c r="O3">
        <v>14941</v>
      </c>
      <c r="P3" s="5" t="str">
        <f>IF(L2&gt;=80,"High",IF(L2&gt;=50,"Medium","Low"))</f>
        <v>High</v>
      </c>
    </row>
    <row r="4" spans="1:16" x14ac:dyDescent="0.3">
      <c r="A4" t="s">
        <v>123</v>
      </c>
      <c r="B4" t="s">
        <v>57</v>
      </c>
      <c r="C4" t="s">
        <v>70</v>
      </c>
      <c r="D4" t="s">
        <v>18</v>
      </c>
      <c r="E4" s="2" t="s">
        <v>124</v>
      </c>
      <c r="F4" s="2" t="s">
        <v>125</v>
      </c>
      <c r="G4">
        <v>84.64</v>
      </c>
      <c r="H4">
        <v>46</v>
      </c>
      <c r="I4">
        <v>28</v>
      </c>
      <c r="J4">
        <v>60.87</v>
      </c>
      <c r="K4">
        <v>1.61</v>
      </c>
      <c r="L4" s="4">
        <v>99.29</v>
      </c>
      <c r="M4" t="s">
        <v>38</v>
      </c>
      <c r="N4" t="s">
        <v>44</v>
      </c>
      <c r="O4">
        <v>18338</v>
      </c>
      <c r="P4" s="5" t="str">
        <f t="shared" ref="P4:P67" si="0">IF(L3&gt;=80,"High",IF(L3&gt;=50,"Medium","Low"))</f>
        <v>High</v>
      </c>
    </row>
    <row r="5" spans="1:16" x14ac:dyDescent="0.3">
      <c r="A5" t="s">
        <v>363</v>
      </c>
      <c r="B5" t="s">
        <v>57</v>
      </c>
      <c r="C5" t="s">
        <v>63</v>
      </c>
      <c r="D5" t="s">
        <v>31</v>
      </c>
      <c r="E5" s="2" t="s">
        <v>364</v>
      </c>
      <c r="F5" s="2" t="s">
        <v>365</v>
      </c>
      <c r="G5">
        <v>98.9</v>
      </c>
      <c r="H5">
        <v>62</v>
      </c>
      <c r="I5">
        <v>58</v>
      </c>
      <c r="J5">
        <v>93.55</v>
      </c>
      <c r="K5">
        <v>6.38</v>
      </c>
      <c r="L5" s="4">
        <v>99.21</v>
      </c>
      <c r="M5" t="s">
        <v>38</v>
      </c>
      <c r="N5" t="s">
        <v>44</v>
      </c>
      <c r="O5">
        <v>9030</v>
      </c>
      <c r="P5" s="5" t="str">
        <f t="shared" si="0"/>
        <v>High</v>
      </c>
    </row>
    <row r="6" spans="1:16" x14ac:dyDescent="0.3">
      <c r="A6" t="s">
        <v>198</v>
      </c>
      <c r="B6" t="s">
        <v>84</v>
      </c>
      <c r="C6" t="s">
        <v>30</v>
      </c>
      <c r="D6" t="s">
        <v>31</v>
      </c>
      <c r="E6" s="2" t="s">
        <v>199</v>
      </c>
      <c r="F6" s="2" t="s">
        <v>200</v>
      </c>
      <c r="G6">
        <v>71.36</v>
      </c>
      <c r="H6">
        <v>51</v>
      </c>
      <c r="I6">
        <v>47</v>
      </c>
      <c r="J6">
        <v>92.16</v>
      </c>
      <c r="K6">
        <v>6.67</v>
      </c>
      <c r="L6" s="4">
        <v>98.87</v>
      </c>
      <c r="M6" t="s">
        <v>28</v>
      </c>
      <c r="N6" t="s">
        <v>22</v>
      </c>
      <c r="O6">
        <v>8565</v>
      </c>
      <c r="P6" s="5" t="str">
        <f t="shared" si="0"/>
        <v>High</v>
      </c>
    </row>
    <row r="7" spans="1:16" x14ac:dyDescent="0.3">
      <c r="A7" t="s">
        <v>80</v>
      </c>
      <c r="B7" t="s">
        <v>62</v>
      </c>
      <c r="C7" t="s">
        <v>24</v>
      </c>
      <c r="D7" t="s">
        <v>31</v>
      </c>
      <c r="E7" s="2" t="s">
        <v>81</v>
      </c>
      <c r="F7" s="2" t="s">
        <v>82</v>
      </c>
      <c r="G7">
        <v>97.51</v>
      </c>
      <c r="H7">
        <v>82</v>
      </c>
      <c r="I7">
        <v>63</v>
      </c>
      <c r="J7">
        <v>76.83</v>
      </c>
      <c r="K7">
        <v>5.01</v>
      </c>
      <c r="L7" s="4">
        <v>98.7</v>
      </c>
      <c r="M7" t="s">
        <v>21</v>
      </c>
      <c r="N7" t="s">
        <v>22</v>
      </c>
      <c r="O7">
        <v>19110</v>
      </c>
      <c r="P7" s="5" t="str">
        <f t="shared" si="0"/>
        <v>High</v>
      </c>
    </row>
    <row r="8" spans="1:16" x14ac:dyDescent="0.3">
      <c r="A8" t="s">
        <v>358</v>
      </c>
      <c r="B8" t="s">
        <v>35</v>
      </c>
      <c r="C8" t="s">
        <v>24</v>
      </c>
      <c r="D8" t="s">
        <v>58</v>
      </c>
      <c r="E8" s="2" t="s">
        <v>359</v>
      </c>
      <c r="F8" s="2" t="s">
        <v>129</v>
      </c>
      <c r="G8">
        <v>99.45</v>
      </c>
      <c r="H8">
        <v>37</v>
      </c>
      <c r="I8">
        <v>24</v>
      </c>
      <c r="J8">
        <v>64.86</v>
      </c>
      <c r="K8">
        <v>1.28</v>
      </c>
      <c r="L8" s="4">
        <v>98.63</v>
      </c>
      <c r="M8" t="s">
        <v>43</v>
      </c>
      <c r="N8" t="s">
        <v>22</v>
      </c>
      <c r="O8">
        <v>13314</v>
      </c>
      <c r="P8" s="5" t="str">
        <f t="shared" si="0"/>
        <v>High</v>
      </c>
    </row>
    <row r="9" spans="1:16" x14ac:dyDescent="0.3">
      <c r="A9" t="s">
        <v>256</v>
      </c>
      <c r="B9" t="s">
        <v>100</v>
      </c>
      <c r="C9" t="s">
        <v>17</v>
      </c>
      <c r="D9" t="s">
        <v>18</v>
      </c>
      <c r="E9" s="2" t="s">
        <v>147</v>
      </c>
      <c r="F9" s="2" t="s">
        <v>65</v>
      </c>
      <c r="G9">
        <v>96.88</v>
      </c>
      <c r="H9">
        <v>97</v>
      </c>
      <c r="I9">
        <v>57</v>
      </c>
      <c r="J9">
        <v>58.76</v>
      </c>
      <c r="K9">
        <v>3.98</v>
      </c>
      <c r="L9" s="4">
        <v>98.43</v>
      </c>
      <c r="M9" t="s">
        <v>38</v>
      </c>
      <c r="N9" t="s">
        <v>39</v>
      </c>
      <c r="O9">
        <v>12435</v>
      </c>
      <c r="P9" s="5" t="str">
        <f t="shared" si="0"/>
        <v>High</v>
      </c>
    </row>
    <row r="10" spans="1:16" x14ac:dyDescent="0.3">
      <c r="A10" t="s">
        <v>141</v>
      </c>
      <c r="B10" t="s">
        <v>77</v>
      </c>
      <c r="C10" t="s">
        <v>70</v>
      </c>
      <c r="D10" t="s">
        <v>58</v>
      </c>
      <c r="E10" s="2" t="s">
        <v>142</v>
      </c>
      <c r="F10" s="2" t="s">
        <v>139</v>
      </c>
      <c r="G10">
        <v>90.75</v>
      </c>
      <c r="H10">
        <v>77</v>
      </c>
      <c r="I10">
        <v>69</v>
      </c>
      <c r="J10">
        <v>89.61</v>
      </c>
      <c r="K10">
        <v>5.49</v>
      </c>
      <c r="L10" s="4">
        <v>98.27</v>
      </c>
      <c r="M10" t="s">
        <v>38</v>
      </c>
      <c r="N10" t="s">
        <v>22</v>
      </c>
      <c r="O10">
        <v>7961</v>
      </c>
      <c r="P10" s="5" t="str">
        <f t="shared" si="0"/>
        <v>High</v>
      </c>
    </row>
    <row r="11" spans="1:16" x14ac:dyDescent="0.3">
      <c r="A11" t="s">
        <v>133</v>
      </c>
      <c r="B11" t="s">
        <v>16</v>
      </c>
      <c r="C11" t="s">
        <v>30</v>
      </c>
      <c r="D11" t="s">
        <v>50</v>
      </c>
      <c r="E11" s="2" t="s">
        <v>134</v>
      </c>
      <c r="F11" s="2" t="s">
        <v>135</v>
      </c>
      <c r="G11">
        <v>95.61</v>
      </c>
      <c r="H11">
        <v>92</v>
      </c>
      <c r="I11">
        <v>74</v>
      </c>
      <c r="J11">
        <v>80.430000000000007</v>
      </c>
      <c r="K11">
        <v>4.67</v>
      </c>
      <c r="L11" s="4">
        <v>97.92</v>
      </c>
      <c r="M11" t="s">
        <v>28</v>
      </c>
      <c r="N11" t="s">
        <v>22</v>
      </c>
      <c r="O11">
        <v>7814</v>
      </c>
      <c r="P11" s="5" t="str">
        <f t="shared" si="0"/>
        <v>High</v>
      </c>
    </row>
    <row r="12" spans="1:16" x14ac:dyDescent="0.3">
      <c r="A12" t="s">
        <v>189</v>
      </c>
      <c r="B12" t="s">
        <v>77</v>
      </c>
      <c r="C12" t="s">
        <v>17</v>
      </c>
      <c r="D12" t="s">
        <v>31</v>
      </c>
      <c r="E12" s="2" t="s">
        <v>42</v>
      </c>
      <c r="F12" s="2" t="s">
        <v>166</v>
      </c>
      <c r="G12">
        <v>96.09</v>
      </c>
      <c r="H12">
        <v>90</v>
      </c>
      <c r="I12">
        <v>61</v>
      </c>
      <c r="J12">
        <v>67.78</v>
      </c>
      <c r="K12">
        <v>4.5999999999999996</v>
      </c>
      <c r="L12" s="4">
        <v>96.51</v>
      </c>
      <c r="M12" t="s">
        <v>38</v>
      </c>
      <c r="N12" t="s">
        <v>39</v>
      </c>
      <c r="O12">
        <v>15667</v>
      </c>
      <c r="P12" s="5" t="str">
        <f t="shared" si="0"/>
        <v>High</v>
      </c>
    </row>
    <row r="13" spans="1:16" x14ac:dyDescent="0.3">
      <c r="A13" t="s">
        <v>211</v>
      </c>
      <c r="B13" t="s">
        <v>84</v>
      </c>
      <c r="C13" t="s">
        <v>30</v>
      </c>
      <c r="D13" t="s">
        <v>31</v>
      </c>
      <c r="E13" s="2" t="s">
        <v>81</v>
      </c>
      <c r="F13" s="2" t="s">
        <v>125</v>
      </c>
      <c r="G13">
        <v>84.94</v>
      </c>
      <c r="H13">
        <v>50</v>
      </c>
      <c r="I13">
        <v>10</v>
      </c>
      <c r="J13">
        <v>20</v>
      </c>
      <c r="K13">
        <v>4.8099999999999996</v>
      </c>
      <c r="L13" s="4">
        <v>96.06</v>
      </c>
      <c r="M13" t="s">
        <v>21</v>
      </c>
      <c r="N13" t="s">
        <v>44</v>
      </c>
      <c r="O13">
        <v>6432</v>
      </c>
      <c r="P13" s="5" t="str">
        <f t="shared" si="0"/>
        <v>High</v>
      </c>
    </row>
    <row r="14" spans="1:16" x14ac:dyDescent="0.3">
      <c r="A14" t="s">
        <v>260</v>
      </c>
      <c r="B14" t="s">
        <v>154</v>
      </c>
      <c r="C14" t="s">
        <v>17</v>
      </c>
      <c r="D14" t="s">
        <v>18</v>
      </c>
      <c r="E14" s="2" t="s">
        <v>261</v>
      </c>
      <c r="F14" s="2" t="s">
        <v>132</v>
      </c>
      <c r="G14">
        <v>91.36</v>
      </c>
      <c r="H14">
        <v>61</v>
      </c>
      <c r="I14">
        <v>38</v>
      </c>
      <c r="J14">
        <v>62.3</v>
      </c>
      <c r="K14">
        <v>3.77</v>
      </c>
      <c r="L14" s="4">
        <v>96.04</v>
      </c>
      <c r="M14" t="s">
        <v>38</v>
      </c>
      <c r="N14" t="s">
        <v>44</v>
      </c>
      <c r="O14">
        <v>19737</v>
      </c>
      <c r="P14" s="5" t="str">
        <f t="shared" si="0"/>
        <v>High</v>
      </c>
    </row>
    <row r="15" spans="1:16" x14ac:dyDescent="0.3">
      <c r="A15" t="s">
        <v>45</v>
      </c>
      <c r="B15" t="s">
        <v>35</v>
      </c>
      <c r="C15" t="s">
        <v>24</v>
      </c>
      <c r="D15" t="s">
        <v>25</v>
      </c>
      <c r="E15" s="2" t="s">
        <v>46</v>
      </c>
      <c r="F15" s="2" t="s">
        <v>47</v>
      </c>
      <c r="G15">
        <v>93.23</v>
      </c>
      <c r="H15">
        <v>66</v>
      </c>
      <c r="I15">
        <v>51</v>
      </c>
      <c r="J15">
        <v>77.27</v>
      </c>
      <c r="K15">
        <v>5.23</v>
      </c>
      <c r="L15" s="4">
        <v>95.49</v>
      </c>
      <c r="M15" t="s">
        <v>28</v>
      </c>
      <c r="N15" t="s">
        <v>39</v>
      </c>
      <c r="O15">
        <v>11352</v>
      </c>
      <c r="P15" s="5" t="str">
        <f t="shared" si="0"/>
        <v>High</v>
      </c>
    </row>
    <row r="16" spans="1:16" x14ac:dyDescent="0.3">
      <c r="A16" t="s">
        <v>288</v>
      </c>
      <c r="B16" t="s">
        <v>165</v>
      </c>
      <c r="C16" t="s">
        <v>70</v>
      </c>
      <c r="D16" t="s">
        <v>58</v>
      </c>
      <c r="E16" s="2" t="s">
        <v>258</v>
      </c>
      <c r="F16" s="2" t="s">
        <v>156</v>
      </c>
      <c r="G16">
        <v>75.260000000000005</v>
      </c>
      <c r="H16">
        <v>96</v>
      </c>
      <c r="I16">
        <v>15</v>
      </c>
      <c r="J16">
        <v>15.62</v>
      </c>
      <c r="K16">
        <v>2.4700000000000002</v>
      </c>
      <c r="L16" s="4">
        <v>95.03</v>
      </c>
      <c r="M16" t="s">
        <v>28</v>
      </c>
      <c r="N16" t="s">
        <v>39</v>
      </c>
      <c r="O16">
        <v>13550</v>
      </c>
      <c r="P16" s="5" t="str">
        <f t="shared" si="0"/>
        <v>High</v>
      </c>
    </row>
    <row r="17" spans="1:16" x14ac:dyDescent="0.3">
      <c r="A17" t="s">
        <v>172</v>
      </c>
      <c r="B17" t="s">
        <v>57</v>
      </c>
      <c r="C17" t="s">
        <v>30</v>
      </c>
      <c r="D17" t="s">
        <v>58</v>
      </c>
      <c r="E17" s="2" t="s">
        <v>173</v>
      </c>
      <c r="F17" s="2" t="s">
        <v>174</v>
      </c>
      <c r="G17">
        <v>86.32</v>
      </c>
      <c r="H17">
        <v>61</v>
      </c>
      <c r="I17">
        <v>35</v>
      </c>
      <c r="J17">
        <v>57.38</v>
      </c>
      <c r="K17">
        <v>3.31</v>
      </c>
      <c r="L17" s="4">
        <v>94.97</v>
      </c>
      <c r="M17" t="s">
        <v>38</v>
      </c>
      <c r="N17" t="s">
        <v>22</v>
      </c>
      <c r="O17">
        <v>9799</v>
      </c>
      <c r="P17" s="5" t="str">
        <f t="shared" si="0"/>
        <v>High</v>
      </c>
    </row>
    <row r="18" spans="1:16" x14ac:dyDescent="0.3">
      <c r="A18" t="s">
        <v>113</v>
      </c>
      <c r="B18" t="s">
        <v>84</v>
      </c>
      <c r="C18" t="s">
        <v>30</v>
      </c>
      <c r="D18" t="s">
        <v>58</v>
      </c>
      <c r="E18" s="2" t="s">
        <v>114</v>
      </c>
      <c r="F18" s="2" t="s">
        <v>115</v>
      </c>
      <c r="G18">
        <v>99.17</v>
      </c>
      <c r="H18">
        <v>41</v>
      </c>
      <c r="I18">
        <v>24</v>
      </c>
      <c r="J18">
        <v>58.54</v>
      </c>
      <c r="K18">
        <v>1.29</v>
      </c>
      <c r="L18" s="4">
        <v>94.95</v>
      </c>
      <c r="M18" t="s">
        <v>21</v>
      </c>
      <c r="N18" t="s">
        <v>22</v>
      </c>
      <c r="O18">
        <v>7983</v>
      </c>
      <c r="P18" s="5" t="str">
        <f t="shared" si="0"/>
        <v>High</v>
      </c>
    </row>
    <row r="19" spans="1:16" x14ac:dyDescent="0.3">
      <c r="A19" t="s">
        <v>105</v>
      </c>
      <c r="B19" t="s">
        <v>49</v>
      </c>
      <c r="C19" t="s">
        <v>30</v>
      </c>
      <c r="D19" t="s">
        <v>58</v>
      </c>
      <c r="E19" s="2" t="s">
        <v>106</v>
      </c>
      <c r="F19" s="2" t="s">
        <v>107</v>
      </c>
      <c r="G19">
        <v>73.400000000000006</v>
      </c>
      <c r="H19">
        <v>35</v>
      </c>
      <c r="I19">
        <v>31</v>
      </c>
      <c r="J19">
        <v>88.57</v>
      </c>
      <c r="K19">
        <v>2.13</v>
      </c>
      <c r="L19" s="4">
        <v>94.74</v>
      </c>
      <c r="M19" t="s">
        <v>21</v>
      </c>
      <c r="N19" t="s">
        <v>22</v>
      </c>
      <c r="O19">
        <v>9463</v>
      </c>
      <c r="P19" s="5" t="str">
        <f t="shared" si="0"/>
        <v>High</v>
      </c>
    </row>
    <row r="20" spans="1:16" x14ac:dyDescent="0.3">
      <c r="A20" t="s">
        <v>108</v>
      </c>
      <c r="B20" t="s">
        <v>57</v>
      </c>
      <c r="C20" t="s">
        <v>17</v>
      </c>
      <c r="D20" t="s">
        <v>58</v>
      </c>
      <c r="E20" s="2" t="s">
        <v>109</v>
      </c>
      <c r="F20" s="2" t="s">
        <v>37</v>
      </c>
      <c r="G20">
        <v>97.97</v>
      </c>
      <c r="H20">
        <v>61</v>
      </c>
      <c r="I20">
        <v>39</v>
      </c>
      <c r="J20">
        <v>63.93</v>
      </c>
      <c r="K20">
        <v>6.91</v>
      </c>
      <c r="L20" s="4">
        <v>94.15</v>
      </c>
      <c r="M20" t="s">
        <v>38</v>
      </c>
      <c r="N20" t="s">
        <v>39</v>
      </c>
      <c r="O20">
        <v>17237</v>
      </c>
      <c r="P20" s="5" t="str">
        <f t="shared" si="0"/>
        <v>High</v>
      </c>
    </row>
    <row r="21" spans="1:16" x14ac:dyDescent="0.3">
      <c r="A21" t="s">
        <v>291</v>
      </c>
      <c r="B21" t="s">
        <v>154</v>
      </c>
      <c r="C21" t="s">
        <v>30</v>
      </c>
      <c r="D21" t="s">
        <v>50</v>
      </c>
      <c r="E21" s="2" t="s">
        <v>254</v>
      </c>
      <c r="F21" s="2" t="s">
        <v>204</v>
      </c>
      <c r="G21">
        <v>77.739999999999995</v>
      </c>
      <c r="H21">
        <v>33</v>
      </c>
      <c r="I21">
        <v>30</v>
      </c>
      <c r="J21">
        <v>90.91</v>
      </c>
      <c r="K21">
        <v>6.96</v>
      </c>
      <c r="L21" s="4">
        <v>93</v>
      </c>
      <c r="M21" t="s">
        <v>21</v>
      </c>
      <c r="N21" t="s">
        <v>22</v>
      </c>
      <c r="O21">
        <v>19539</v>
      </c>
      <c r="P21" s="5" t="str">
        <f t="shared" si="0"/>
        <v>High</v>
      </c>
    </row>
    <row r="22" spans="1:16" x14ac:dyDescent="0.3">
      <c r="A22" t="s">
        <v>333</v>
      </c>
      <c r="B22" t="s">
        <v>84</v>
      </c>
      <c r="C22" t="s">
        <v>30</v>
      </c>
      <c r="D22" t="s">
        <v>25</v>
      </c>
      <c r="E22" s="2" t="s">
        <v>124</v>
      </c>
      <c r="F22" s="2" t="s">
        <v>334</v>
      </c>
      <c r="G22">
        <v>98.34</v>
      </c>
      <c r="H22">
        <v>49</v>
      </c>
      <c r="I22">
        <v>24</v>
      </c>
      <c r="J22">
        <v>48.98</v>
      </c>
      <c r="K22">
        <v>6.41</v>
      </c>
      <c r="L22" s="4">
        <v>92.8</v>
      </c>
      <c r="M22" t="s">
        <v>21</v>
      </c>
      <c r="N22" t="s">
        <v>39</v>
      </c>
      <c r="O22">
        <v>10506</v>
      </c>
      <c r="P22" s="5" t="str">
        <f t="shared" si="0"/>
        <v>High</v>
      </c>
    </row>
    <row r="23" spans="1:16" x14ac:dyDescent="0.3">
      <c r="A23" t="s">
        <v>351</v>
      </c>
      <c r="B23" t="s">
        <v>77</v>
      </c>
      <c r="C23" t="s">
        <v>70</v>
      </c>
      <c r="D23" t="s">
        <v>50</v>
      </c>
      <c r="E23" s="2" t="s">
        <v>352</v>
      </c>
      <c r="F23" s="2" t="s">
        <v>353</v>
      </c>
      <c r="G23">
        <v>78.12</v>
      </c>
      <c r="H23">
        <v>31</v>
      </c>
      <c r="I23">
        <v>18</v>
      </c>
      <c r="J23">
        <v>58.06</v>
      </c>
      <c r="K23">
        <v>2.54</v>
      </c>
      <c r="L23" s="4">
        <v>92.77</v>
      </c>
      <c r="M23" t="s">
        <v>21</v>
      </c>
      <c r="N23" t="s">
        <v>22</v>
      </c>
      <c r="O23">
        <v>10516</v>
      </c>
      <c r="P23" s="5" t="str">
        <f t="shared" si="0"/>
        <v>High</v>
      </c>
    </row>
    <row r="24" spans="1:16" x14ac:dyDescent="0.3">
      <c r="A24" t="s">
        <v>355</v>
      </c>
      <c r="B24" t="s">
        <v>35</v>
      </c>
      <c r="C24" t="s">
        <v>63</v>
      </c>
      <c r="D24" t="s">
        <v>58</v>
      </c>
      <c r="E24" s="2" t="s">
        <v>356</v>
      </c>
      <c r="F24" s="2" t="s">
        <v>357</v>
      </c>
      <c r="G24">
        <v>98.33</v>
      </c>
      <c r="H24">
        <v>73</v>
      </c>
      <c r="I24">
        <v>16</v>
      </c>
      <c r="J24">
        <v>21.92</v>
      </c>
      <c r="K24">
        <v>6.01</v>
      </c>
      <c r="L24" s="4">
        <v>91.94</v>
      </c>
      <c r="M24" t="s">
        <v>43</v>
      </c>
      <c r="N24" t="s">
        <v>39</v>
      </c>
      <c r="O24">
        <v>17974</v>
      </c>
      <c r="P24" s="5" t="str">
        <f t="shared" si="0"/>
        <v>High</v>
      </c>
    </row>
    <row r="25" spans="1:16" x14ac:dyDescent="0.3">
      <c r="A25" t="s">
        <v>126</v>
      </c>
      <c r="B25" t="s">
        <v>77</v>
      </c>
      <c r="C25" t="s">
        <v>70</v>
      </c>
      <c r="D25" t="s">
        <v>25</v>
      </c>
      <c r="E25" s="2" t="s">
        <v>59</v>
      </c>
      <c r="F25" s="2" t="s">
        <v>75</v>
      </c>
      <c r="G25">
        <v>86.47</v>
      </c>
      <c r="H25">
        <v>33</v>
      </c>
      <c r="I25">
        <v>10</v>
      </c>
      <c r="J25">
        <v>30.3</v>
      </c>
      <c r="K25">
        <v>6.47</v>
      </c>
      <c r="L25" s="4">
        <v>91.63</v>
      </c>
      <c r="M25" t="s">
        <v>43</v>
      </c>
      <c r="N25" t="s">
        <v>44</v>
      </c>
      <c r="O25">
        <v>7991</v>
      </c>
      <c r="P25" s="5" t="str">
        <f t="shared" si="0"/>
        <v>High</v>
      </c>
    </row>
    <row r="26" spans="1:16" x14ac:dyDescent="0.3">
      <c r="A26" t="s">
        <v>56</v>
      </c>
      <c r="B26" t="s">
        <v>57</v>
      </c>
      <c r="C26" t="s">
        <v>30</v>
      </c>
      <c r="D26" t="s">
        <v>58</v>
      </c>
      <c r="E26" s="2" t="s">
        <v>59</v>
      </c>
      <c r="F26" s="2" t="s">
        <v>60</v>
      </c>
      <c r="G26">
        <v>80.180000000000007</v>
      </c>
      <c r="H26">
        <v>59</v>
      </c>
      <c r="I26">
        <v>29</v>
      </c>
      <c r="J26">
        <v>49.15</v>
      </c>
      <c r="K26">
        <v>6.52</v>
      </c>
      <c r="L26" s="4">
        <v>91.49</v>
      </c>
      <c r="M26" t="s">
        <v>28</v>
      </c>
      <c r="N26" t="s">
        <v>39</v>
      </c>
      <c r="O26">
        <v>11508</v>
      </c>
      <c r="P26" s="5" t="str">
        <f t="shared" si="0"/>
        <v>High</v>
      </c>
    </row>
    <row r="27" spans="1:16" x14ac:dyDescent="0.3">
      <c r="A27" t="s">
        <v>34</v>
      </c>
      <c r="B27" t="s">
        <v>35</v>
      </c>
      <c r="C27" t="s">
        <v>30</v>
      </c>
      <c r="D27" t="s">
        <v>18</v>
      </c>
      <c r="E27" s="2" t="s">
        <v>36</v>
      </c>
      <c r="F27" s="2">
        <v>45779</v>
      </c>
      <c r="G27">
        <v>78.459999999999994</v>
      </c>
      <c r="H27">
        <v>74</v>
      </c>
      <c r="I27">
        <v>22</v>
      </c>
      <c r="J27">
        <v>29.73</v>
      </c>
      <c r="K27">
        <v>3.35</v>
      </c>
      <c r="L27" s="4">
        <v>91.29</v>
      </c>
      <c r="M27" t="s">
        <v>38</v>
      </c>
      <c r="N27" t="s">
        <v>39</v>
      </c>
      <c r="O27">
        <v>10755</v>
      </c>
      <c r="P27" s="5" t="str">
        <f t="shared" si="0"/>
        <v>High</v>
      </c>
    </row>
    <row r="28" spans="1:16" x14ac:dyDescent="0.3">
      <c r="A28" t="s">
        <v>87</v>
      </c>
      <c r="B28" t="s">
        <v>49</v>
      </c>
      <c r="C28" t="s">
        <v>24</v>
      </c>
      <c r="D28" t="s">
        <v>18</v>
      </c>
      <c r="E28" s="2" t="s">
        <v>88</v>
      </c>
      <c r="F28" s="2" t="s">
        <v>89</v>
      </c>
      <c r="G28">
        <v>94.91</v>
      </c>
      <c r="H28">
        <v>75</v>
      </c>
      <c r="I28">
        <v>43</v>
      </c>
      <c r="J28">
        <v>57.33</v>
      </c>
      <c r="K28">
        <v>6.87</v>
      </c>
      <c r="L28" s="4">
        <v>90.91</v>
      </c>
      <c r="M28" t="s">
        <v>28</v>
      </c>
      <c r="N28" t="s">
        <v>44</v>
      </c>
      <c r="O28">
        <v>7580</v>
      </c>
      <c r="P28" s="5" t="str">
        <f t="shared" si="0"/>
        <v>High</v>
      </c>
    </row>
    <row r="29" spans="1:16" x14ac:dyDescent="0.3">
      <c r="A29" t="s">
        <v>232</v>
      </c>
      <c r="B29" t="s">
        <v>77</v>
      </c>
      <c r="C29" t="s">
        <v>70</v>
      </c>
      <c r="D29" t="s">
        <v>58</v>
      </c>
      <c r="E29" s="2" t="s">
        <v>233</v>
      </c>
      <c r="F29" s="2" t="s">
        <v>174</v>
      </c>
      <c r="G29">
        <v>70.2</v>
      </c>
      <c r="H29">
        <v>92</v>
      </c>
      <c r="I29">
        <v>44</v>
      </c>
      <c r="J29">
        <v>47.83</v>
      </c>
      <c r="K29">
        <v>4.24</v>
      </c>
      <c r="L29" s="4">
        <v>90.24</v>
      </c>
      <c r="M29" t="s">
        <v>38</v>
      </c>
      <c r="N29" t="s">
        <v>39</v>
      </c>
      <c r="O29">
        <v>5908</v>
      </c>
      <c r="P29" s="5" t="str">
        <f t="shared" si="0"/>
        <v>High</v>
      </c>
    </row>
    <row r="30" spans="1:16" x14ac:dyDescent="0.3">
      <c r="A30" t="s">
        <v>93</v>
      </c>
      <c r="B30" t="s">
        <v>35</v>
      </c>
      <c r="C30" t="s">
        <v>30</v>
      </c>
      <c r="D30" t="s">
        <v>31</v>
      </c>
      <c r="E30" s="2" t="s">
        <v>94</v>
      </c>
      <c r="F30" s="2" t="s">
        <v>95</v>
      </c>
      <c r="G30">
        <v>82.19</v>
      </c>
      <c r="H30">
        <v>41</v>
      </c>
      <c r="I30">
        <v>30</v>
      </c>
      <c r="J30">
        <v>73.17</v>
      </c>
      <c r="K30">
        <v>2.58</v>
      </c>
      <c r="L30" s="4">
        <v>90.03</v>
      </c>
      <c r="M30" t="s">
        <v>38</v>
      </c>
      <c r="N30" t="s">
        <v>44</v>
      </c>
      <c r="O30">
        <v>13309</v>
      </c>
      <c r="P30" s="5" t="str">
        <f t="shared" si="0"/>
        <v>High</v>
      </c>
    </row>
    <row r="31" spans="1:16" x14ac:dyDescent="0.3">
      <c r="A31" t="s">
        <v>347</v>
      </c>
      <c r="B31" t="s">
        <v>154</v>
      </c>
      <c r="C31" t="s">
        <v>70</v>
      </c>
      <c r="D31" t="s">
        <v>25</v>
      </c>
      <c r="E31" s="2" t="s">
        <v>217</v>
      </c>
      <c r="F31" s="2" t="s">
        <v>348</v>
      </c>
      <c r="G31">
        <v>79.290000000000006</v>
      </c>
      <c r="H31">
        <v>56</v>
      </c>
      <c r="I31">
        <v>42</v>
      </c>
      <c r="J31">
        <v>75</v>
      </c>
      <c r="K31">
        <v>1.05</v>
      </c>
      <c r="L31" s="4">
        <v>89.89</v>
      </c>
      <c r="M31" t="s">
        <v>28</v>
      </c>
      <c r="N31" t="s">
        <v>39</v>
      </c>
      <c r="O31">
        <v>18944</v>
      </c>
      <c r="P31" s="5" t="str">
        <f t="shared" si="0"/>
        <v>High</v>
      </c>
    </row>
    <row r="32" spans="1:16" x14ac:dyDescent="0.3">
      <c r="A32" t="s">
        <v>83</v>
      </c>
      <c r="B32" t="s">
        <v>84</v>
      </c>
      <c r="C32" t="s">
        <v>24</v>
      </c>
      <c r="D32" t="s">
        <v>50</v>
      </c>
      <c r="E32" s="2" t="s">
        <v>85</v>
      </c>
      <c r="F32" s="2" t="s">
        <v>86</v>
      </c>
      <c r="G32">
        <v>93.5</v>
      </c>
      <c r="H32">
        <v>36</v>
      </c>
      <c r="I32">
        <v>25</v>
      </c>
      <c r="J32">
        <v>69.44</v>
      </c>
      <c r="K32">
        <v>4.08</v>
      </c>
      <c r="L32" s="4">
        <v>89.52</v>
      </c>
      <c r="M32" t="s">
        <v>28</v>
      </c>
      <c r="N32" t="s">
        <v>39</v>
      </c>
      <c r="O32">
        <v>15040</v>
      </c>
      <c r="P32" s="5" t="str">
        <f t="shared" si="0"/>
        <v>High</v>
      </c>
    </row>
    <row r="33" spans="1:16" x14ac:dyDescent="0.3">
      <c r="A33" t="s">
        <v>253</v>
      </c>
      <c r="B33" t="s">
        <v>49</v>
      </c>
      <c r="C33" t="s">
        <v>63</v>
      </c>
      <c r="D33" t="s">
        <v>18</v>
      </c>
      <c r="E33" s="2" t="s">
        <v>254</v>
      </c>
      <c r="F33" s="2" t="s">
        <v>255</v>
      </c>
      <c r="G33">
        <v>70.88</v>
      </c>
      <c r="H33">
        <v>41</v>
      </c>
      <c r="I33">
        <v>27</v>
      </c>
      <c r="J33">
        <v>65.849999999999994</v>
      </c>
      <c r="K33">
        <v>5.57</v>
      </c>
      <c r="L33" s="4">
        <v>89.18</v>
      </c>
      <c r="M33" t="s">
        <v>21</v>
      </c>
      <c r="N33" t="s">
        <v>22</v>
      </c>
      <c r="O33">
        <v>6203</v>
      </c>
      <c r="P33" s="5" t="str">
        <f t="shared" si="0"/>
        <v>High</v>
      </c>
    </row>
    <row r="34" spans="1:16" x14ac:dyDescent="0.3">
      <c r="A34" t="s">
        <v>297</v>
      </c>
      <c r="B34" t="s">
        <v>100</v>
      </c>
      <c r="C34" t="s">
        <v>17</v>
      </c>
      <c r="D34" t="s">
        <v>25</v>
      </c>
      <c r="E34" s="2" t="s">
        <v>298</v>
      </c>
      <c r="F34" s="2" t="s">
        <v>227</v>
      </c>
      <c r="G34">
        <v>70.959999999999994</v>
      </c>
      <c r="H34">
        <v>57</v>
      </c>
      <c r="I34">
        <v>51</v>
      </c>
      <c r="J34">
        <v>89.47</v>
      </c>
      <c r="K34">
        <v>6.44</v>
      </c>
      <c r="L34" s="4">
        <v>89.04</v>
      </c>
      <c r="M34" t="s">
        <v>38</v>
      </c>
      <c r="N34" t="s">
        <v>22</v>
      </c>
      <c r="O34">
        <v>13668</v>
      </c>
      <c r="P34" s="5" t="str">
        <f t="shared" si="0"/>
        <v>High</v>
      </c>
    </row>
    <row r="35" spans="1:16" x14ac:dyDescent="0.3">
      <c r="A35" t="s">
        <v>262</v>
      </c>
      <c r="B35" t="s">
        <v>16</v>
      </c>
      <c r="C35" t="s">
        <v>30</v>
      </c>
      <c r="D35" t="s">
        <v>31</v>
      </c>
      <c r="E35" s="2" t="s">
        <v>263</v>
      </c>
      <c r="F35" s="2" t="s">
        <v>264</v>
      </c>
      <c r="G35">
        <v>72.72</v>
      </c>
      <c r="H35">
        <v>47</v>
      </c>
      <c r="I35">
        <v>12</v>
      </c>
      <c r="J35">
        <v>25.53</v>
      </c>
      <c r="K35">
        <v>4.1900000000000004</v>
      </c>
      <c r="L35" s="4">
        <v>88.85</v>
      </c>
      <c r="M35" t="s">
        <v>21</v>
      </c>
      <c r="N35" t="s">
        <v>22</v>
      </c>
      <c r="O35">
        <v>6871</v>
      </c>
      <c r="P35" s="5" t="str">
        <f t="shared" si="0"/>
        <v>High</v>
      </c>
    </row>
    <row r="36" spans="1:16" x14ac:dyDescent="0.3">
      <c r="A36" t="s">
        <v>265</v>
      </c>
      <c r="B36" t="s">
        <v>77</v>
      </c>
      <c r="C36" t="s">
        <v>17</v>
      </c>
      <c r="D36" t="s">
        <v>25</v>
      </c>
      <c r="E36" s="2" t="s">
        <v>266</v>
      </c>
      <c r="F36" s="2" t="s">
        <v>104</v>
      </c>
      <c r="G36">
        <v>98.14</v>
      </c>
      <c r="H36">
        <v>29</v>
      </c>
      <c r="I36">
        <v>13</v>
      </c>
      <c r="J36">
        <v>44.83</v>
      </c>
      <c r="K36">
        <v>6.73</v>
      </c>
      <c r="L36" s="4">
        <v>88.4</v>
      </c>
      <c r="M36" t="s">
        <v>43</v>
      </c>
      <c r="N36" t="s">
        <v>44</v>
      </c>
      <c r="O36">
        <v>7948</v>
      </c>
      <c r="P36" s="5" t="str">
        <f t="shared" si="0"/>
        <v>High</v>
      </c>
    </row>
    <row r="37" spans="1:16" x14ac:dyDescent="0.3">
      <c r="A37" t="s">
        <v>61</v>
      </c>
      <c r="B37" t="s">
        <v>62</v>
      </c>
      <c r="C37" t="s">
        <v>63</v>
      </c>
      <c r="D37" t="s">
        <v>18</v>
      </c>
      <c r="E37" s="2" t="s">
        <v>64</v>
      </c>
      <c r="F37" s="2" t="s">
        <v>65</v>
      </c>
      <c r="G37">
        <v>85.23</v>
      </c>
      <c r="H37">
        <v>58</v>
      </c>
      <c r="I37">
        <v>21</v>
      </c>
      <c r="J37">
        <v>36.21</v>
      </c>
      <c r="K37">
        <v>2.66</v>
      </c>
      <c r="L37" s="4">
        <v>88.36</v>
      </c>
      <c r="M37" t="s">
        <v>28</v>
      </c>
      <c r="N37" t="s">
        <v>39</v>
      </c>
      <c r="O37">
        <v>7224</v>
      </c>
      <c r="P37" s="5" t="str">
        <f t="shared" si="0"/>
        <v>High</v>
      </c>
    </row>
    <row r="38" spans="1:16" x14ac:dyDescent="0.3">
      <c r="A38" t="s">
        <v>222</v>
      </c>
      <c r="B38" t="s">
        <v>16</v>
      </c>
      <c r="C38" t="s">
        <v>63</v>
      </c>
      <c r="D38" t="s">
        <v>31</v>
      </c>
      <c r="E38" s="2" t="s">
        <v>71</v>
      </c>
      <c r="F38" s="2" t="s">
        <v>104</v>
      </c>
      <c r="G38">
        <v>95.07</v>
      </c>
      <c r="H38">
        <v>68</v>
      </c>
      <c r="I38">
        <v>10</v>
      </c>
      <c r="J38">
        <v>14.71</v>
      </c>
      <c r="K38">
        <v>4.21</v>
      </c>
      <c r="L38" s="4">
        <v>88.3</v>
      </c>
      <c r="M38" t="s">
        <v>43</v>
      </c>
      <c r="N38" t="s">
        <v>22</v>
      </c>
      <c r="O38">
        <v>6930</v>
      </c>
      <c r="P38" s="5" t="str">
        <f t="shared" si="0"/>
        <v>High</v>
      </c>
    </row>
    <row r="39" spans="1:16" x14ac:dyDescent="0.3">
      <c r="A39" t="s">
        <v>301</v>
      </c>
      <c r="B39" t="s">
        <v>154</v>
      </c>
      <c r="C39" t="s">
        <v>24</v>
      </c>
      <c r="D39" t="s">
        <v>25</v>
      </c>
      <c r="E39" s="2" t="s">
        <v>20</v>
      </c>
      <c r="F39" s="2" t="s">
        <v>255</v>
      </c>
      <c r="G39">
        <v>73.92</v>
      </c>
      <c r="H39">
        <v>80</v>
      </c>
      <c r="I39">
        <v>77</v>
      </c>
      <c r="J39">
        <v>96.25</v>
      </c>
      <c r="K39">
        <v>1.35</v>
      </c>
      <c r="L39" s="4">
        <v>87.5</v>
      </c>
      <c r="M39" t="s">
        <v>43</v>
      </c>
      <c r="N39" t="s">
        <v>44</v>
      </c>
      <c r="O39">
        <v>11485</v>
      </c>
      <c r="P39" s="5" t="str">
        <f t="shared" si="0"/>
        <v>High</v>
      </c>
    </row>
    <row r="40" spans="1:16" x14ac:dyDescent="0.3">
      <c r="A40" t="s">
        <v>311</v>
      </c>
      <c r="B40" t="s">
        <v>100</v>
      </c>
      <c r="C40" t="s">
        <v>17</v>
      </c>
      <c r="D40" t="s">
        <v>18</v>
      </c>
      <c r="E40" s="2" t="s">
        <v>296</v>
      </c>
      <c r="F40" s="2" t="s">
        <v>312</v>
      </c>
      <c r="G40">
        <v>85.91</v>
      </c>
      <c r="H40">
        <v>31</v>
      </c>
      <c r="I40">
        <v>12</v>
      </c>
      <c r="J40">
        <v>38.71</v>
      </c>
      <c r="K40">
        <v>3.72</v>
      </c>
      <c r="L40" s="4">
        <v>87.46</v>
      </c>
      <c r="M40" t="s">
        <v>28</v>
      </c>
      <c r="N40" t="s">
        <v>39</v>
      </c>
      <c r="O40">
        <v>13784</v>
      </c>
      <c r="P40" s="5" t="str">
        <f t="shared" si="0"/>
        <v>High</v>
      </c>
    </row>
    <row r="41" spans="1:16" x14ac:dyDescent="0.3">
      <c r="A41" t="s">
        <v>341</v>
      </c>
      <c r="B41" t="s">
        <v>154</v>
      </c>
      <c r="C41" t="s">
        <v>70</v>
      </c>
      <c r="D41" t="s">
        <v>25</v>
      </c>
      <c r="E41" s="2" t="s">
        <v>208</v>
      </c>
      <c r="F41" s="2" t="s">
        <v>342</v>
      </c>
      <c r="G41">
        <v>89.56</v>
      </c>
      <c r="H41">
        <v>73</v>
      </c>
      <c r="I41">
        <v>49</v>
      </c>
      <c r="J41">
        <v>67.12</v>
      </c>
      <c r="K41">
        <v>4.8600000000000003</v>
      </c>
      <c r="L41" s="4">
        <v>87.45</v>
      </c>
      <c r="M41" t="s">
        <v>43</v>
      </c>
      <c r="N41" t="s">
        <v>22</v>
      </c>
      <c r="O41">
        <v>16450</v>
      </c>
      <c r="P41" s="5" t="str">
        <f t="shared" si="0"/>
        <v>High</v>
      </c>
    </row>
    <row r="42" spans="1:16" x14ac:dyDescent="0.3">
      <c r="A42" t="s">
        <v>197</v>
      </c>
      <c r="B42" t="s">
        <v>84</v>
      </c>
      <c r="C42" t="s">
        <v>70</v>
      </c>
      <c r="D42" t="s">
        <v>18</v>
      </c>
      <c r="E42" s="2" t="s">
        <v>152</v>
      </c>
      <c r="F42" s="2" t="s">
        <v>145</v>
      </c>
      <c r="G42">
        <v>77.239999999999995</v>
      </c>
      <c r="H42">
        <v>87</v>
      </c>
      <c r="I42">
        <v>25</v>
      </c>
      <c r="J42">
        <v>28.74</v>
      </c>
      <c r="K42">
        <v>3.66</v>
      </c>
      <c r="L42" s="4">
        <v>87.43</v>
      </c>
      <c r="M42" t="s">
        <v>38</v>
      </c>
      <c r="N42" t="s">
        <v>44</v>
      </c>
      <c r="O42">
        <v>13160</v>
      </c>
      <c r="P42" s="5" t="str">
        <f t="shared" si="0"/>
        <v>High</v>
      </c>
    </row>
    <row r="43" spans="1:16" x14ac:dyDescent="0.3">
      <c r="A43" t="s">
        <v>195</v>
      </c>
      <c r="B43" t="s">
        <v>57</v>
      </c>
      <c r="C43" t="s">
        <v>30</v>
      </c>
      <c r="D43" t="s">
        <v>25</v>
      </c>
      <c r="E43" s="2" t="s">
        <v>196</v>
      </c>
      <c r="F43" s="2" t="s">
        <v>148</v>
      </c>
      <c r="G43">
        <v>73.38</v>
      </c>
      <c r="H43">
        <v>24</v>
      </c>
      <c r="I43">
        <v>17</v>
      </c>
      <c r="J43">
        <v>70.83</v>
      </c>
      <c r="K43">
        <v>2.04</v>
      </c>
      <c r="L43" s="4">
        <v>86.27</v>
      </c>
      <c r="M43" t="s">
        <v>21</v>
      </c>
      <c r="N43" t="s">
        <v>22</v>
      </c>
      <c r="O43">
        <v>5175</v>
      </c>
      <c r="P43" s="5" t="str">
        <f t="shared" si="0"/>
        <v>High</v>
      </c>
    </row>
    <row r="44" spans="1:16" x14ac:dyDescent="0.3">
      <c r="A44" t="s">
        <v>373</v>
      </c>
      <c r="B44" t="s">
        <v>62</v>
      </c>
      <c r="C44" t="s">
        <v>17</v>
      </c>
      <c r="D44" t="s">
        <v>31</v>
      </c>
      <c r="E44" s="2" t="s">
        <v>374</v>
      </c>
      <c r="F44" s="2" t="s">
        <v>375</v>
      </c>
      <c r="G44">
        <v>85.89</v>
      </c>
      <c r="H44">
        <v>92</v>
      </c>
      <c r="I44">
        <v>92</v>
      </c>
      <c r="J44">
        <v>100</v>
      </c>
      <c r="K44">
        <v>1.08</v>
      </c>
      <c r="L44" s="4">
        <v>86.26</v>
      </c>
      <c r="M44" t="s">
        <v>43</v>
      </c>
      <c r="N44" t="s">
        <v>39</v>
      </c>
      <c r="O44">
        <v>7462</v>
      </c>
      <c r="P44" s="5" t="str">
        <f t="shared" si="0"/>
        <v>High</v>
      </c>
    </row>
    <row r="45" spans="1:16" x14ac:dyDescent="0.3">
      <c r="A45" t="s">
        <v>183</v>
      </c>
      <c r="B45" t="s">
        <v>84</v>
      </c>
      <c r="C45" t="s">
        <v>63</v>
      </c>
      <c r="D45" t="s">
        <v>58</v>
      </c>
      <c r="E45" s="2" t="s">
        <v>184</v>
      </c>
      <c r="F45" s="2" t="s">
        <v>185</v>
      </c>
      <c r="G45">
        <v>80.39</v>
      </c>
      <c r="H45">
        <v>53</v>
      </c>
      <c r="I45">
        <v>33</v>
      </c>
      <c r="J45">
        <v>62.26</v>
      </c>
      <c r="K45">
        <v>1.07</v>
      </c>
      <c r="L45" s="4">
        <v>85.65</v>
      </c>
      <c r="M45" t="s">
        <v>28</v>
      </c>
      <c r="N45" t="s">
        <v>44</v>
      </c>
      <c r="O45">
        <v>10035</v>
      </c>
      <c r="P45" s="5" t="str">
        <f t="shared" si="0"/>
        <v>High</v>
      </c>
    </row>
    <row r="46" spans="1:16" x14ac:dyDescent="0.3">
      <c r="A46" t="s">
        <v>326</v>
      </c>
      <c r="B46" t="s">
        <v>35</v>
      </c>
      <c r="C46" t="s">
        <v>30</v>
      </c>
      <c r="D46" t="s">
        <v>25</v>
      </c>
      <c r="E46" s="2" t="s">
        <v>97</v>
      </c>
      <c r="F46" s="2" t="s">
        <v>142</v>
      </c>
      <c r="G46">
        <v>99.38</v>
      </c>
      <c r="H46">
        <v>69</v>
      </c>
      <c r="I46">
        <v>26</v>
      </c>
      <c r="J46">
        <v>37.68</v>
      </c>
      <c r="K46">
        <v>6.36</v>
      </c>
      <c r="L46" s="4">
        <v>84.72</v>
      </c>
      <c r="M46" t="s">
        <v>28</v>
      </c>
      <c r="N46" t="s">
        <v>22</v>
      </c>
      <c r="O46">
        <v>11427</v>
      </c>
      <c r="P46" s="5" t="str">
        <f t="shared" si="0"/>
        <v>High</v>
      </c>
    </row>
    <row r="47" spans="1:16" x14ac:dyDescent="0.3">
      <c r="A47" t="s">
        <v>331</v>
      </c>
      <c r="B47" t="s">
        <v>16</v>
      </c>
      <c r="C47" t="s">
        <v>70</v>
      </c>
      <c r="D47" t="s">
        <v>31</v>
      </c>
      <c r="E47" s="2" t="s">
        <v>171</v>
      </c>
      <c r="F47" s="2" t="s">
        <v>332</v>
      </c>
      <c r="G47">
        <v>81.12</v>
      </c>
      <c r="H47">
        <v>53</v>
      </c>
      <c r="I47">
        <v>12</v>
      </c>
      <c r="J47">
        <v>22.64</v>
      </c>
      <c r="K47">
        <v>7.03</v>
      </c>
      <c r="L47" s="4">
        <v>84.66</v>
      </c>
      <c r="M47" t="s">
        <v>28</v>
      </c>
      <c r="N47" t="s">
        <v>22</v>
      </c>
      <c r="O47">
        <v>10007</v>
      </c>
      <c r="P47" s="5" t="str">
        <f t="shared" si="0"/>
        <v>High</v>
      </c>
    </row>
    <row r="48" spans="1:16" x14ac:dyDescent="0.3">
      <c r="A48" t="s">
        <v>168</v>
      </c>
      <c r="B48" t="s">
        <v>165</v>
      </c>
      <c r="C48" t="s">
        <v>17</v>
      </c>
      <c r="D48" t="s">
        <v>50</v>
      </c>
      <c r="E48" s="2" t="s">
        <v>106</v>
      </c>
      <c r="F48" s="2" t="s">
        <v>169</v>
      </c>
      <c r="G48">
        <v>80.75</v>
      </c>
      <c r="H48">
        <v>69</v>
      </c>
      <c r="I48">
        <v>56</v>
      </c>
      <c r="J48">
        <v>81.16</v>
      </c>
      <c r="K48">
        <v>1.53</v>
      </c>
      <c r="L48" s="4">
        <v>84.44</v>
      </c>
      <c r="M48" t="s">
        <v>38</v>
      </c>
      <c r="N48" t="s">
        <v>44</v>
      </c>
      <c r="O48">
        <v>18674</v>
      </c>
      <c r="P48" s="5" t="str">
        <f t="shared" si="0"/>
        <v>High</v>
      </c>
    </row>
    <row r="49" spans="1:16" x14ac:dyDescent="0.3">
      <c r="A49" t="s">
        <v>190</v>
      </c>
      <c r="B49" t="s">
        <v>35</v>
      </c>
      <c r="C49" t="s">
        <v>70</v>
      </c>
      <c r="D49" t="s">
        <v>25</v>
      </c>
      <c r="E49" s="2" t="s">
        <v>191</v>
      </c>
      <c r="F49" s="2" t="s">
        <v>95</v>
      </c>
      <c r="G49">
        <v>83.56</v>
      </c>
      <c r="H49">
        <v>25</v>
      </c>
      <c r="I49">
        <v>16</v>
      </c>
      <c r="J49">
        <v>64</v>
      </c>
      <c r="K49">
        <v>1.59</v>
      </c>
      <c r="L49" s="4">
        <v>83.99</v>
      </c>
      <c r="M49" t="s">
        <v>43</v>
      </c>
      <c r="N49" t="s">
        <v>39</v>
      </c>
      <c r="O49">
        <v>11529</v>
      </c>
      <c r="P49" s="5" t="str">
        <f t="shared" si="0"/>
        <v>High</v>
      </c>
    </row>
    <row r="50" spans="1:16" x14ac:dyDescent="0.3">
      <c r="A50" t="s">
        <v>160</v>
      </c>
      <c r="B50" t="s">
        <v>84</v>
      </c>
      <c r="C50" t="s">
        <v>30</v>
      </c>
      <c r="D50" t="s">
        <v>18</v>
      </c>
      <c r="E50" s="2" t="s">
        <v>135</v>
      </c>
      <c r="F50" s="2" t="s">
        <v>161</v>
      </c>
      <c r="G50">
        <v>95.12</v>
      </c>
      <c r="H50">
        <v>37</v>
      </c>
      <c r="I50">
        <v>25</v>
      </c>
      <c r="J50">
        <v>67.569999999999993</v>
      </c>
      <c r="K50">
        <v>2.2000000000000002</v>
      </c>
      <c r="L50" s="4">
        <v>83.55</v>
      </c>
      <c r="M50" t="s">
        <v>28</v>
      </c>
      <c r="N50" t="s">
        <v>22</v>
      </c>
      <c r="O50">
        <v>18485</v>
      </c>
      <c r="P50" s="5" t="str">
        <f t="shared" si="0"/>
        <v>High</v>
      </c>
    </row>
    <row r="51" spans="1:16" x14ac:dyDescent="0.3">
      <c r="A51" t="s">
        <v>369</v>
      </c>
      <c r="B51" t="s">
        <v>16</v>
      </c>
      <c r="C51" t="s">
        <v>24</v>
      </c>
      <c r="D51" t="s">
        <v>25</v>
      </c>
      <c r="E51" s="2" t="s">
        <v>370</v>
      </c>
      <c r="F51" s="2" t="s">
        <v>371</v>
      </c>
      <c r="G51">
        <v>86.38</v>
      </c>
      <c r="H51">
        <v>53</v>
      </c>
      <c r="I51">
        <v>17</v>
      </c>
      <c r="J51">
        <v>32.08</v>
      </c>
      <c r="K51">
        <v>6.4</v>
      </c>
      <c r="L51" s="4">
        <v>83.43</v>
      </c>
      <c r="M51" t="s">
        <v>43</v>
      </c>
      <c r="N51" t="s">
        <v>44</v>
      </c>
      <c r="O51">
        <v>5448</v>
      </c>
      <c r="P51" s="5" t="str">
        <f t="shared" si="0"/>
        <v>High</v>
      </c>
    </row>
    <row r="52" spans="1:16" x14ac:dyDescent="0.3">
      <c r="A52" t="s">
        <v>157</v>
      </c>
      <c r="B52" t="s">
        <v>62</v>
      </c>
      <c r="C52" t="s">
        <v>70</v>
      </c>
      <c r="D52" t="s">
        <v>31</v>
      </c>
      <c r="E52" s="2" t="s">
        <v>158</v>
      </c>
      <c r="F52" s="2" t="s">
        <v>159</v>
      </c>
      <c r="G52">
        <v>76.209999999999994</v>
      </c>
      <c r="H52">
        <v>61</v>
      </c>
      <c r="I52">
        <v>60</v>
      </c>
      <c r="J52">
        <v>98.36</v>
      </c>
      <c r="K52">
        <v>7.16</v>
      </c>
      <c r="L52" s="4">
        <v>83.36</v>
      </c>
      <c r="M52" t="s">
        <v>43</v>
      </c>
      <c r="N52" t="s">
        <v>39</v>
      </c>
      <c r="O52">
        <v>13550</v>
      </c>
      <c r="P52" s="5" t="str">
        <f t="shared" si="0"/>
        <v>High</v>
      </c>
    </row>
    <row r="53" spans="1:16" x14ac:dyDescent="0.3">
      <c r="A53" t="s">
        <v>116</v>
      </c>
      <c r="B53" t="s">
        <v>62</v>
      </c>
      <c r="C53" t="s">
        <v>70</v>
      </c>
      <c r="D53" t="s">
        <v>31</v>
      </c>
      <c r="E53" s="2" t="s">
        <v>117</v>
      </c>
      <c r="F53" s="2" t="s">
        <v>89</v>
      </c>
      <c r="G53">
        <v>92.39</v>
      </c>
      <c r="H53">
        <v>92</v>
      </c>
      <c r="I53">
        <v>46</v>
      </c>
      <c r="J53">
        <v>50</v>
      </c>
      <c r="K53">
        <v>7.88</v>
      </c>
      <c r="L53" s="4">
        <v>83.21</v>
      </c>
      <c r="M53" t="s">
        <v>43</v>
      </c>
      <c r="N53" t="s">
        <v>39</v>
      </c>
      <c r="O53">
        <v>18445</v>
      </c>
      <c r="P53" s="5" t="str">
        <f t="shared" si="0"/>
        <v>High</v>
      </c>
    </row>
    <row r="54" spans="1:16" x14ac:dyDescent="0.3">
      <c r="A54" t="s">
        <v>110</v>
      </c>
      <c r="B54" t="s">
        <v>16</v>
      </c>
      <c r="C54" t="s">
        <v>24</v>
      </c>
      <c r="D54" t="s">
        <v>18</v>
      </c>
      <c r="E54" s="2" t="s">
        <v>111</v>
      </c>
      <c r="F54" s="2" t="s">
        <v>112</v>
      </c>
      <c r="G54">
        <v>86.45</v>
      </c>
      <c r="H54">
        <v>38</v>
      </c>
      <c r="I54">
        <v>20</v>
      </c>
      <c r="J54">
        <v>52.63</v>
      </c>
      <c r="K54">
        <v>1.67</v>
      </c>
      <c r="L54" s="4">
        <v>83.06</v>
      </c>
      <c r="M54" t="s">
        <v>21</v>
      </c>
      <c r="N54" t="s">
        <v>22</v>
      </c>
      <c r="O54">
        <v>5100</v>
      </c>
      <c r="P54" s="5" t="str">
        <f t="shared" si="0"/>
        <v>High</v>
      </c>
    </row>
    <row r="55" spans="1:16" x14ac:dyDescent="0.3">
      <c r="A55" t="s">
        <v>327</v>
      </c>
      <c r="B55" t="s">
        <v>84</v>
      </c>
      <c r="C55" t="s">
        <v>17</v>
      </c>
      <c r="D55" t="s">
        <v>58</v>
      </c>
      <c r="E55" s="2" t="s">
        <v>247</v>
      </c>
      <c r="F55" s="2" t="s">
        <v>328</v>
      </c>
      <c r="G55">
        <v>87.79</v>
      </c>
      <c r="H55">
        <v>40</v>
      </c>
      <c r="I55">
        <v>12</v>
      </c>
      <c r="J55">
        <v>30</v>
      </c>
      <c r="K55">
        <v>7.86</v>
      </c>
      <c r="L55" s="4">
        <v>83.01</v>
      </c>
      <c r="M55" t="s">
        <v>38</v>
      </c>
      <c r="N55" t="s">
        <v>22</v>
      </c>
      <c r="O55">
        <v>19062</v>
      </c>
      <c r="P55" s="5" t="str">
        <f t="shared" si="0"/>
        <v>High</v>
      </c>
    </row>
    <row r="56" spans="1:16" x14ac:dyDescent="0.3">
      <c r="A56" t="s">
        <v>203</v>
      </c>
      <c r="B56" t="s">
        <v>165</v>
      </c>
      <c r="C56" t="s">
        <v>17</v>
      </c>
      <c r="D56" t="s">
        <v>18</v>
      </c>
      <c r="E56" s="2" t="s">
        <v>188</v>
      </c>
      <c r="F56" s="2" t="s">
        <v>204</v>
      </c>
      <c r="G56">
        <v>83.52</v>
      </c>
      <c r="H56">
        <v>72</v>
      </c>
      <c r="I56">
        <v>64</v>
      </c>
      <c r="J56">
        <v>88.89</v>
      </c>
      <c r="K56">
        <v>7.38</v>
      </c>
      <c r="L56" s="4">
        <v>82.64</v>
      </c>
      <c r="M56" t="s">
        <v>21</v>
      </c>
      <c r="N56" t="s">
        <v>22</v>
      </c>
      <c r="O56">
        <v>17978</v>
      </c>
      <c r="P56" s="5" t="str">
        <f t="shared" si="0"/>
        <v>High</v>
      </c>
    </row>
    <row r="57" spans="1:16" x14ac:dyDescent="0.3">
      <c r="A57" t="s">
        <v>206</v>
      </c>
      <c r="B57" t="s">
        <v>154</v>
      </c>
      <c r="C57" t="s">
        <v>17</v>
      </c>
      <c r="D57" t="s">
        <v>31</v>
      </c>
      <c r="E57" s="2" t="s">
        <v>207</v>
      </c>
      <c r="F57" s="2" t="s">
        <v>208</v>
      </c>
      <c r="G57">
        <v>90.79</v>
      </c>
      <c r="H57">
        <v>67</v>
      </c>
      <c r="I57">
        <v>50</v>
      </c>
      <c r="J57">
        <v>74.63</v>
      </c>
      <c r="K57">
        <v>1.42</v>
      </c>
      <c r="L57" s="4">
        <v>82.48</v>
      </c>
      <c r="M57" t="s">
        <v>43</v>
      </c>
      <c r="N57" t="s">
        <v>39</v>
      </c>
      <c r="O57">
        <v>9041</v>
      </c>
      <c r="P57" s="5" t="str">
        <f t="shared" si="0"/>
        <v>High</v>
      </c>
    </row>
    <row r="58" spans="1:16" x14ac:dyDescent="0.3">
      <c r="A58" t="s">
        <v>153</v>
      </c>
      <c r="B58" t="s">
        <v>154</v>
      </c>
      <c r="C58" t="s">
        <v>63</v>
      </c>
      <c r="D58" t="s">
        <v>18</v>
      </c>
      <c r="E58" s="2" t="s">
        <v>155</v>
      </c>
      <c r="F58" s="2" t="s">
        <v>156</v>
      </c>
      <c r="G58">
        <v>81.36</v>
      </c>
      <c r="H58">
        <v>23</v>
      </c>
      <c r="I58">
        <v>16</v>
      </c>
      <c r="J58">
        <v>69.569999999999993</v>
      </c>
      <c r="K58">
        <v>5.36</v>
      </c>
      <c r="L58" s="4">
        <v>82.38</v>
      </c>
      <c r="M58" t="s">
        <v>28</v>
      </c>
      <c r="N58" t="s">
        <v>39</v>
      </c>
      <c r="O58">
        <v>11625</v>
      </c>
      <c r="P58" s="5" t="str">
        <f t="shared" si="0"/>
        <v>High</v>
      </c>
    </row>
    <row r="59" spans="1:16" x14ac:dyDescent="0.3">
      <c r="A59" t="s">
        <v>228</v>
      </c>
      <c r="B59" t="s">
        <v>49</v>
      </c>
      <c r="C59" t="s">
        <v>24</v>
      </c>
      <c r="D59" t="s">
        <v>18</v>
      </c>
      <c r="E59" s="2" t="s">
        <v>229</v>
      </c>
      <c r="F59" s="2" t="s">
        <v>230</v>
      </c>
      <c r="G59">
        <v>77.41</v>
      </c>
      <c r="H59">
        <v>28</v>
      </c>
      <c r="I59">
        <v>13</v>
      </c>
      <c r="J59">
        <v>46.43</v>
      </c>
      <c r="K59">
        <v>5.85</v>
      </c>
      <c r="L59" s="4">
        <v>82.15</v>
      </c>
      <c r="M59" t="s">
        <v>28</v>
      </c>
      <c r="N59" t="s">
        <v>44</v>
      </c>
      <c r="O59">
        <v>18752</v>
      </c>
      <c r="P59" s="5" t="str">
        <f t="shared" si="0"/>
        <v>High</v>
      </c>
    </row>
    <row r="60" spans="1:16" x14ac:dyDescent="0.3">
      <c r="A60" t="s">
        <v>320</v>
      </c>
      <c r="B60" t="s">
        <v>165</v>
      </c>
      <c r="C60" t="s">
        <v>24</v>
      </c>
      <c r="D60" t="s">
        <v>31</v>
      </c>
      <c r="E60" s="2" t="s">
        <v>281</v>
      </c>
      <c r="F60" s="2" t="s">
        <v>244</v>
      </c>
      <c r="G60">
        <v>73.709999999999994</v>
      </c>
      <c r="H60">
        <v>95</v>
      </c>
      <c r="I60">
        <v>40</v>
      </c>
      <c r="J60">
        <v>42.11</v>
      </c>
      <c r="K60">
        <v>7.33</v>
      </c>
      <c r="L60" s="4">
        <v>80.92</v>
      </c>
      <c r="M60" t="s">
        <v>28</v>
      </c>
      <c r="N60" t="s">
        <v>22</v>
      </c>
      <c r="O60">
        <v>14455</v>
      </c>
      <c r="P60" s="5" t="str">
        <f t="shared" si="0"/>
        <v>High</v>
      </c>
    </row>
    <row r="61" spans="1:16" x14ac:dyDescent="0.3">
      <c r="A61" t="s">
        <v>219</v>
      </c>
      <c r="B61" t="s">
        <v>100</v>
      </c>
      <c r="C61" t="s">
        <v>70</v>
      </c>
      <c r="D61" t="s">
        <v>31</v>
      </c>
      <c r="E61" s="2" t="s">
        <v>207</v>
      </c>
      <c r="F61" s="2" t="s">
        <v>26</v>
      </c>
      <c r="G61">
        <v>99.04</v>
      </c>
      <c r="H61">
        <v>76</v>
      </c>
      <c r="I61">
        <v>49</v>
      </c>
      <c r="J61">
        <v>64.47</v>
      </c>
      <c r="K61">
        <v>2</v>
      </c>
      <c r="L61" s="4">
        <v>80.680000000000007</v>
      </c>
      <c r="M61" t="s">
        <v>21</v>
      </c>
      <c r="N61" t="s">
        <v>39</v>
      </c>
      <c r="O61">
        <v>11831</v>
      </c>
      <c r="P61" s="5" t="str">
        <f t="shared" si="0"/>
        <v>High</v>
      </c>
    </row>
    <row r="62" spans="1:16" x14ac:dyDescent="0.3">
      <c r="A62" t="s">
        <v>186</v>
      </c>
      <c r="B62" t="s">
        <v>57</v>
      </c>
      <c r="C62" t="s">
        <v>30</v>
      </c>
      <c r="D62" t="s">
        <v>18</v>
      </c>
      <c r="E62" s="2" t="s">
        <v>187</v>
      </c>
      <c r="F62" s="2" t="s">
        <v>188</v>
      </c>
      <c r="G62">
        <v>92.99</v>
      </c>
      <c r="H62">
        <v>41</v>
      </c>
      <c r="I62">
        <v>21</v>
      </c>
      <c r="J62">
        <v>51.22</v>
      </c>
      <c r="K62">
        <v>4.78</v>
      </c>
      <c r="L62" s="4">
        <v>80.349999999999994</v>
      </c>
      <c r="M62" t="s">
        <v>38</v>
      </c>
      <c r="N62" t="s">
        <v>39</v>
      </c>
      <c r="O62">
        <v>19773</v>
      </c>
      <c r="P62" s="5" t="str">
        <f t="shared" si="0"/>
        <v>High</v>
      </c>
    </row>
    <row r="63" spans="1:16" x14ac:dyDescent="0.3">
      <c r="A63" t="s">
        <v>177</v>
      </c>
      <c r="B63" t="s">
        <v>35</v>
      </c>
      <c r="C63" t="s">
        <v>17</v>
      </c>
      <c r="D63" t="s">
        <v>31</v>
      </c>
      <c r="E63" s="2" t="s">
        <v>178</v>
      </c>
      <c r="F63" s="2" t="s">
        <v>179</v>
      </c>
      <c r="G63">
        <v>78.239999999999995</v>
      </c>
      <c r="H63">
        <v>60</v>
      </c>
      <c r="I63">
        <v>40</v>
      </c>
      <c r="J63">
        <v>66.67</v>
      </c>
      <c r="K63">
        <v>3.15</v>
      </c>
      <c r="L63" s="4">
        <v>80.239999999999995</v>
      </c>
      <c r="M63" t="s">
        <v>38</v>
      </c>
      <c r="N63" t="s">
        <v>44</v>
      </c>
      <c r="O63">
        <v>18256</v>
      </c>
      <c r="P63" s="5" t="str">
        <f t="shared" si="0"/>
        <v>High</v>
      </c>
    </row>
    <row r="64" spans="1:16" x14ac:dyDescent="0.3">
      <c r="A64" t="s">
        <v>248</v>
      </c>
      <c r="B64" t="s">
        <v>49</v>
      </c>
      <c r="C64" t="s">
        <v>63</v>
      </c>
      <c r="D64" t="s">
        <v>18</v>
      </c>
      <c r="E64" s="2" t="s">
        <v>249</v>
      </c>
      <c r="F64" s="2" t="s">
        <v>250</v>
      </c>
      <c r="G64">
        <v>98.68</v>
      </c>
      <c r="H64">
        <v>88</v>
      </c>
      <c r="I64">
        <v>56</v>
      </c>
      <c r="J64">
        <v>63.64</v>
      </c>
      <c r="K64">
        <v>4.76</v>
      </c>
      <c r="L64" s="4">
        <v>80.209999999999994</v>
      </c>
      <c r="M64" t="s">
        <v>43</v>
      </c>
      <c r="N64" t="s">
        <v>22</v>
      </c>
      <c r="O64">
        <v>17639</v>
      </c>
      <c r="P64" s="5" t="str">
        <f t="shared" si="0"/>
        <v>High</v>
      </c>
    </row>
    <row r="65" spans="1:16" x14ac:dyDescent="0.3">
      <c r="A65" t="s">
        <v>349</v>
      </c>
      <c r="B65" t="s">
        <v>154</v>
      </c>
      <c r="C65" t="s">
        <v>30</v>
      </c>
      <c r="D65" t="s">
        <v>50</v>
      </c>
      <c r="E65" s="2" t="s">
        <v>350</v>
      </c>
      <c r="F65" s="2" t="s">
        <v>120</v>
      </c>
      <c r="G65">
        <v>96.21</v>
      </c>
      <c r="H65">
        <v>33</v>
      </c>
      <c r="I65">
        <v>18</v>
      </c>
      <c r="J65">
        <v>54.55</v>
      </c>
      <c r="K65">
        <v>4.95</v>
      </c>
      <c r="L65" s="4">
        <v>80</v>
      </c>
      <c r="M65" t="s">
        <v>21</v>
      </c>
      <c r="N65" t="s">
        <v>44</v>
      </c>
      <c r="O65">
        <v>19724</v>
      </c>
      <c r="P65" s="5" t="str">
        <f t="shared" si="0"/>
        <v>High</v>
      </c>
    </row>
    <row r="66" spans="1:16" x14ac:dyDescent="0.3">
      <c r="A66" t="s">
        <v>127</v>
      </c>
      <c r="B66" t="s">
        <v>84</v>
      </c>
      <c r="C66" t="s">
        <v>70</v>
      </c>
      <c r="D66" t="s">
        <v>58</v>
      </c>
      <c r="E66" s="2" t="s">
        <v>128</v>
      </c>
      <c r="F66" s="2" t="s">
        <v>129</v>
      </c>
      <c r="G66">
        <v>87.29</v>
      </c>
      <c r="H66">
        <v>63</v>
      </c>
      <c r="I66">
        <v>26</v>
      </c>
      <c r="J66">
        <v>41.27</v>
      </c>
      <c r="K66">
        <v>5.42</v>
      </c>
      <c r="L66" s="4">
        <v>79.459999999999994</v>
      </c>
      <c r="M66" t="s">
        <v>43</v>
      </c>
      <c r="N66" t="s">
        <v>39</v>
      </c>
      <c r="O66">
        <v>9895</v>
      </c>
      <c r="P66" s="5" t="str">
        <f t="shared" si="0"/>
        <v>High</v>
      </c>
    </row>
    <row r="67" spans="1:16" x14ac:dyDescent="0.3">
      <c r="A67" t="s">
        <v>372</v>
      </c>
      <c r="B67" t="s">
        <v>57</v>
      </c>
      <c r="C67" t="s">
        <v>70</v>
      </c>
      <c r="D67" t="s">
        <v>58</v>
      </c>
      <c r="E67" s="2" t="s">
        <v>279</v>
      </c>
      <c r="F67" s="2" t="s">
        <v>47</v>
      </c>
      <c r="G67">
        <v>70.28</v>
      </c>
      <c r="H67">
        <v>76</v>
      </c>
      <c r="I67">
        <v>70</v>
      </c>
      <c r="J67">
        <v>92.11</v>
      </c>
      <c r="K67">
        <v>3.73</v>
      </c>
      <c r="L67" s="4">
        <v>79.319999999999993</v>
      </c>
      <c r="M67" t="s">
        <v>43</v>
      </c>
      <c r="N67" t="s">
        <v>22</v>
      </c>
      <c r="O67">
        <v>12162</v>
      </c>
      <c r="P67" s="5" t="str">
        <f t="shared" si="0"/>
        <v>Medium</v>
      </c>
    </row>
    <row r="68" spans="1:16" x14ac:dyDescent="0.3">
      <c r="A68" t="s">
        <v>257</v>
      </c>
      <c r="B68" t="s">
        <v>62</v>
      </c>
      <c r="C68" t="s">
        <v>70</v>
      </c>
      <c r="D68" t="s">
        <v>58</v>
      </c>
      <c r="E68" s="2" t="s">
        <v>258</v>
      </c>
      <c r="F68" s="2" t="s">
        <v>259</v>
      </c>
      <c r="G68">
        <v>99.25</v>
      </c>
      <c r="H68">
        <v>48</v>
      </c>
      <c r="I68">
        <v>42</v>
      </c>
      <c r="J68">
        <v>87.5</v>
      </c>
      <c r="K68">
        <v>5.84</v>
      </c>
      <c r="L68" s="4">
        <v>79.23</v>
      </c>
      <c r="M68" t="s">
        <v>38</v>
      </c>
      <c r="N68" t="s">
        <v>39</v>
      </c>
      <c r="O68">
        <v>7173</v>
      </c>
      <c r="P68" s="5" t="str">
        <f t="shared" ref="P68:P131" si="1">IF(L67&gt;=80,"High",IF(L67&gt;=50,"Medium","Low"))</f>
        <v>Medium</v>
      </c>
    </row>
    <row r="69" spans="1:16" x14ac:dyDescent="0.3">
      <c r="A69" t="s">
        <v>146</v>
      </c>
      <c r="B69" t="s">
        <v>77</v>
      </c>
      <c r="C69" t="s">
        <v>30</v>
      </c>
      <c r="D69" t="s">
        <v>50</v>
      </c>
      <c r="E69" s="2" t="s">
        <v>147</v>
      </c>
      <c r="F69" s="2" t="s">
        <v>148</v>
      </c>
      <c r="G69">
        <v>75.900000000000006</v>
      </c>
      <c r="H69">
        <v>37</v>
      </c>
      <c r="I69">
        <v>16</v>
      </c>
      <c r="J69">
        <v>43.24</v>
      </c>
      <c r="K69">
        <v>1.67</v>
      </c>
      <c r="L69" s="4">
        <v>79.11</v>
      </c>
      <c r="M69" t="s">
        <v>38</v>
      </c>
      <c r="N69" t="s">
        <v>39</v>
      </c>
      <c r="O69">
        <v>16817</v>
      </c>
      <c r="P69" s="5" t="str">
        <f t="shared" si="1"/>
        <v>Medium</v>
      </c>
    </row>
    <row r="70" spans="1:16" x14ac:dyDescent="0.3">
      <c r="A70" t="s">
        <v>292</v>
      </c>
      <c r="B70" t="s">
        <v>57</v>
      </c>
      <c r="C70" t="s">
        <v>30</v>
      </c>
      <c r="D70" t="s">
        <v>18</v>
      </c>
      <c r="E70" s="2" t="s">
        <v>293</v>
      </c>
      <c r="F70" s="2" t="s">
        <v>294</v>
      </c>
      <c r="G70">
        <v>70.69</v>
      </c>
      <c r="H70">
        <v>50</v>
      </c>
      <c r="I70">
        <v>50</v>
      </c>
      <c r="J70">
        <v>100</v>
      </c>
      <c r="K70">
        <v>5.01</v>
      </c>
      <c r="L70" s="4">
        <v>79</v>
      </c>
      <c r="M70" t="s">
        <v>28</v>
      </c>
      <c r="N70" t="s">
        <v>44</v>
      </c>
      <c r="O70">
        <v>6695</v>
      </c>
      <c r="P70" s="5" t="str">
        <f t="shared" si="1"/>
        <v>Medium</v>
      </c>
    </row>
    <row r="71" spans="1:16" x14ac:dyDescent="0.3">
      <c r="A71" t="s">
        <v>121</v>
      </c>
      <c r="B71" t="s">
        <v>77</v>
      </c>
      <c r="C71" t="s">
        <v>30</v>
      </c>
      <c r="D71" t="s">
        <v>18</v>
      </c>
      <c r="E71" s="2" t="s">
        <v>19</v>
      </c>
      <c r="F71" s="2" t="s">
        <v>122</v>
      </c>
      <c r="G71">
        <v>99.92</v>
      </c>
      <c r="H71">
        <v>43</v>
      </c>
      <c r="I71">
        <v>30</v>
      </c>
      <c r="J71">
        <v>69.77</v>
      </c>
      <c r="K71">
        <v>5.09</v>
      </c>
      <c r="L71" s="4">
        <v>78.239999999999995</v>
      </c>
      <c r="M71" t="s">
        <v>38</v>
      </c>
      <c r="N71" t="s">
        <v>39</v>
      </c>
      <c r="O71">
        <v>18781</v>
      </c>
      <c r="P71" s="5" t="str">
        <f t="shared" si="1"/>
        <v>Medium</v>
      </c>
    </row>
    <row r="72" spans="1:16" x14ac:dyDescent="0.3">
      <c r="A72" t="s">
        <v>267</v>
      </c>
      <c r="B72" t="s">
        <v>57</v>
      </c>
      <c r="C72" t="s">
        <v>30</v>
      </c>
      <c r="D72" t="s">
        <v>25</v>
      </c>
      <c r="E72" s="2" t="s">
        <v>196</v>
      </c>
      <c r="F72" s="2" t="s">
        <v>268</v>
      </c>
      <c r="G72">
        <v>92.51</v>
      </c>
      <c r="H72">
        <v>88</v>
      </c>
      <c r="I72">
        <v>63</v>
      </c>
      <c r="J72">
        <v>71.59</v>
      </c>
      <c r="K72">
        <v>2.95</v>
      </c>
      <c r="L72" s="4">
        <v>77.94</v>
      </c>
      <c r="M72" t="s">
        <v>43</v>
      </c>
      <c r="N72" t="s">
        <v>39</v>
      </c>
      <c r="O72">
        <v>16921</v>
      </c>
      <c r="P72" s="5" t="str">
        <f t="shared" si="1"/>
        <v>Medium</v>
      </c>
    </row>
    <row r="73" spans="1:16" x14ac:dyDescent="0.3">
      <c r="A73" t="s">
        <v>302</v>
      </c>
      <c r="B73" t="s">
        <v>84</v>
      </c>
      <c r="C73" t="s">
        <v>24</v>
      </c>
      <c r="D73" t="s">
        <v>31</v>
      </c>
      <c r="E73" s="2" t="s">
        <v>303</v>
      </c>
      <c r="F73" s="2" t="s">
        <v>304</v>
      </c>
      <c r="G73">
        <v>77.41</v>
      </c>
      <c r="H73">
        <v>44</v>
      </c>
      <c r="I73">
        <v>16</v>
      </c>
      <c r="J73">
        <v>36.36</v>
      </c>
      <c r="K73">
        <v>1.88</v>
      </c>
      <c r="L73" s="4">
        <v>77.73</v>
      </c>
      <c r="M73" t="s">
        <v>43</v>
      </c>
      <c r="N73" t="s">
        <v>22</v>
      </c>
      <c r="O73">
        <v>19776</v>
      </c>
      <c r="P73" s="5" t="str">
        <f t="shared" si="1"/>
        <v>Medium</v>
      </c>
    </row>
    <row r="74" spans="1:16" x14ac:dyDescent="0.3">
      <c r="A74" t="s">
        <v>143</v>
      </c>
      <c r="B74" t="s">
        <v>57</v>
      </c>
      <c r="C74" t="s">
        <v>17</v>
      </c>
      <c r="D74" t="s">
        <v>31</v>
      </c>
      <c r="E74" s="2" t="s">
        <v>89</v>
      </c>
      <c r="F74" s="2" t="s">
        <v>20</v>
      </c>
      <c r="G74">
        <v>78.38</v>
      </c>
      <c r="H74">
        <v>40</v>
      </c>
      <c r="I74">
        <v>17</v>
      </c>
      <c r="J74">
        <v>42.5</v>
      </c>
      <c r="K74">
        <v>2.39</v>
      </c>
      <c r="L74" s="4">
        <v>76.77</v>
      </c>
      <c r="M74" t="s">
        <v>43</v>
      </c>
      <c r="N74" t="s">
        <v>22</v>
      </c>
      <c r="O74">
        <v>9542</v>
      </c>
      <c r="P74" s="5" t="str">
        <f t="shared" si="1"/>
        <v>Medium</v>
      </c>
    </row>
    <row r="75" spans="1:16" x14ac:dyDescent="0.3">
      <c r="A75" t="s">
        <v>323</v>
      </c>
      <c r="B75" t="s">
        <v>84</v>
      </c>
      <c r="C75" t="s">
        <v>70</v>
      </c>
      <c r="D75" t="s">
        <v>18</v>
      </c>
      <c r="E75" s="2" t="s">
        <v>316</v>
      </c>
      <c r="F75" s="2" t="s">
        <v>324</v>
      </c>
      <c r="G75">
        <v>78.58</v>
      </c>
      <c r="H75">
        <v>26</v>
      </c>
      <c r="I75">
        <v>19</v>
      </c>
      <c r="J75">
        <v>73.08</v>
      </c>
      <c r="K75">
        <v>1.1000000000000001</v>
      </c>
      <c r="L75" s="4">
        <v>76.709999999999994</v>
      </c>
      <c r="M75" t="s">
        <v>28</v>
      </c>
      <c r="N75" t="s">
        <v>22</v>
      </c>
      <c r="O75">
        <v>18565</v>
      </c>
      <c r="P75" s="5" t="str">
        <f t="shared" si="1"/>
        <v>Medium</v>
      </c>
    </row>
    <row r="76" spans="1:16" x14ac:dyDescent="0.3">
      <c r="A76" t="s">
        <v>180</v>
      </c>
      <c r="B76" t="s">
        <v>154</v>
      </c>
      <c r="C76" t="s">
        <v>24</v>
      </c>
      <c r="D76" t="s">
        <v>50</v>
      </c>
      <c r="E76" s="2" t="s">
        <v>181</v>
      </c>
      <c r="F76" s="2" t="s">
        <v>182</v>
      </c>
      <c r="G76">
        <v>96.94</v>
      </c>
      <c r="H76">
        <v>94</v>
      </c>
      <c r="I76">
        <v>72</v>
      </c>
      <c r="J76">
        <v>76.599999999999994</v>
      </c>
      <c r="K76">
        <v>7.17</v>
      </c>
      <c r="L76" s="4">
        <v>76.62</v>
      </c>
      <c r="M76" t="s">
        <v>21</v>
      </c>
      <c r="N76" t="s">
        <v>22</v>
      </c>
      <c r="O76">
        <v>18810</v>
      </c>
      <c r="P76" s="5" t="str">
        <f t="shared" si="1"/>
        <v>Medium</v>
      </c>
    </row>
    <row r="77" spans="1:16" x14ac:dyDescent="0.3">
      <c r="A77" t="s">
        <v>269</v>
      </c>
      <c r="B77" t="s">
        <v>77</v>
      </c>
      <c r="C77" t="s">
        <v>70</v>
      </c>
      <c r="D77" t="s">
        <v>50</v>
      </c>
      <c r="E77" s="2" t="s">
        <v>270</v>
      </c>
      <c r="F77" s="2" t="s">
        <v>271</v>
      </c>
      <c r="G77">
        <v>71.41</v>
      </c>
      <c r="H77">
        <v>72</v>
      </c>
      <c r="I77">
        <v>60</v>
      </c>
      <c r="J77">
        <v>83.33</v>
      </c>
      <c r="K77">
        <v>5.14</v>
      </c>
      <c r="L77" s="4">
        <v>76.38</v>
      </c>
      <c r="M77" t="s">
        <v>38</v>
      </c>
      <c r="N77" t="s">
        <v>22</v>
      </c>
      <c r="O77">
        <v>14225</v>
      </c>
      <c r="P77" s="5" t="str">
        <f t="shared" si="1"/>
        <v>Medium</v>
      </c>
    </row>
    <row r="78" spans="1:16" x14ac:dyDescent="0.3">
      <c r="A78" t="s">
        <v>272</v>
      </c>
      <c r="B78" t="s">
        <v>62</v>
      </c>
      <c r="C78" t="s">
        <v>63</v>
      </c>
      <c r="D78" t="s">
        <v>58</v>
      </c>
      <c r="E78" s="2" t="s">
        <v>273</v>
      </c>
      <c r="F78" s="2" t="s">
        <v>274</v>
      </c>
      <c r="G78">
        <v>96.1</v>
      </c>
      <c r="H78">
        <v>98</v>
      </c>
      <c r="I78">
        <v>56</v>
      </c>
      <c r="J78">
        <v>57.14</v>
      </c>
      <c r="K78">
        <v>2.35</v>
      </c>
      <c r="L78" s="4">
        <v>76.02</v>
      </c>
      <c r="M78" t="s">
        <v>21</v>
      </c>
      <c r="N78" t="s">
        <v>44</v>
      </c>
      <c r="O78">
        <v>8163</v>
      </c>
      <c r="P78" s="5" t="str">
        <f t="shared" si="1"/>
        <v>Medium</v>
      </c>
    </row>
    <row r="79" spans="1:16" x14ac:dyDescent="0.3">
      <c r="A79" t="s">
        <v>295</v>
      </c>
      <c r="B79" t="s">
        <v>100</v>
      </c>
      <c r="C79" t="s">
        <v>63</v>
      </c>
      <c r="D79" t="s">
        <v>50</v>
      </c>
      <c r="E79" s="2" t="s">
        <v>296</v>
      </c>
      <c r="F79" s="2" t="s">
        <v>173</v>
      </c>
      <c r="G79">
        <v>74.91</v>
      </c>
      <c r="H79">
        <v>58</v>
      </c>
      <c r="I79">
        <v>47</v>
      </c>
      <c r="J79">
        <v>81.03</v>
      </c>
      <c r="K79">
        <v>1.99</v>
      </c>
      <c r="L79" s="4">
        <v>75.73</v>
      </c>
      <c r="M79" t="s">
        <v>21</v>
      </c>
      <c r="N79" t="s">
        <v>22</v>
      </c>
      <c r="O79">
        <v>12113</v>
      </c>
      <c r="P79" s="5" t="str">
        <f t="shared" si="1"/>
        <v>Medium</v>
      </c>
    </row>
    <row r="80" spans="1:16" x14ac:dyDescent="0.3">
      <c r="A80" t="s">
        <v>130</v>
      </c>
      <c r="B80" t="s">
        <v>35</v>
      </c>
      <c r="C80" t="s">
        <v>30</v>
      </c>
      <c r="D80" t="s">
        <v>25</v>
      </c>
      <c r="E80" s="2" t="s">
        <v>131</v>
      </c>
      <c r="F80" s="2" t="s">
        <v>132</v>
      </c>
      <c r="G80">
        <v>90.34</v>
      </c>
      <c r="H80">
        <v>63</v>
      </c>
      <c r="I80">
        <v>34</v>
      </c>
      <c r="J80">
        <v>53.97</v>
      </c>
      <c r="K80">
        <v>5.65</v>
      </c>
      <c r="L80" s="4">
        <v>75.349999999999994</v>
      </c>
      <c r="M80" t="s">
        <v>28</v>
      </c>
      <c r="N80" t="s">
        <v>44</v>
      </c>
      <c r="O80">
        <v>7131</v>
      </c>
      <c r="P80" s="5" t="str">
        <f t="shared" si="1"/>
        <v>Medium</v>
      </c>
    </row>
    <row r="81" spans="1:16" x14ac:dyDescent="0.3">
      <c r="A81" t="s">
        <v>212</v>
      </c>
      <c r="B81" t="s">
        <v>84</v>
      </c>
      <c r="C81" t="s">
        <v>63</v>
      </c>
      <c r="D81" t="s">
        <v>31</v>
      </c>
      <c r="E81" s="2" t="s">
        <v>187</v>
      </c>
      <c r="F81" s="2" t="s">
        <v>213</v>
      </c>
      <c r="G81">
        <v>75.430000000000007</v>
      </c>
      <c r="H81">
        <v>42</v>
      </c>
      <c r="I81">
        <v>40</v>
      </c>
      <c r="J81">
        <v>95.24</v>
      </c>
      <c r="K81">
        <v>7.05</v>
      </c>
      <c r="L81" s="4">
        <v>74.459999999999994</v>
      </c>
      <c r="M81" t="s">
        <v>43</v>
      </c>
      <c r="N81" t="s">
        <v>44</v>
      </c>
      <c r="O81">
        <v>7214</v>
      </c>
      <c r="P81" s="5" t="str">
        <f t="shared" si="1"/>
        <v>Medium</v>
      </c>
    </row>
    <row r="82" spans="1:16" x14ac:dyDescent="0.3">
      <c r="A82" t="s">
        <v>366</v>
      </c>
      <c r="B82" t="s">
        <v>16</v>
      </c>
      <c r="C82" t="s">
        <v>24</v>
      </c>
      <c r="D82" t="s">
        <v>31</v>
      </c>
      <c r="E82" s="2" t="s">
        <v>64</v>
      </c>
      <c r="F82" s="2" t="s">
        <v>194</v>
      </c>
      <c r="G82">
        <v>85.33</v>
      </c>
      <c r="H82">
        <v>40</v>
      </c>
      <c r="I82">
        <v>35</v>
      </c>
      <c r="J82">
        <v>87.5</v>
      </c>
      <c r="K82">
        <v>7.19</v>
      </c>
      <c r="L82" s="4">
        <v>74</v>
      </c>
      <c r="M82" t="s">
        <v>28</v>
      </c>
      <c r="N82" t="s">
        <v>39</v>
      </c>
      <c r="O82">
        <v>11157</v>
      </c>
      <c r="P82" s="5" t="str">
        <f t="shared" si="1"/>
        <v>Medium</v>
      </c>
    </row>
    <row r="83" spans="1:16" x14ac:dyDescent="0.3">
      <c r="A83" t="s">
        <v>329</v>
      </c>
      <c r="B83" t="s">
        <v>35</v>
      </c>
      <c r="C83" t="s">
        <v>17</v>
      </c>
      <c r="D83" t="s">
        <v>31</v>
      </c>
      <c r="E83" s="2" t="s">
        <v>20</v>
      </c>
      <c r="F83" s="2" t="s">
        <v>330</v>
      </c>
      <c r="G83">
        <v>74.44</v>
      </c>
      <c r="H83">
        <v>95</v>
      </c>
      <c r="I83">
        <v>29</v>
      </c>
      <c r="J83">
        <v>30.53</v>
      </c>
      <c r="K83">
        <v>2.71</v>
      </c>
      <c r="L83" s="4">
        <v>73.58</v>
      </c>
      <c r="M83" t="s">
        <v>38</v>
      </c>
      <c r="N83" t="s">
        <v>22</v>
      </c>
      <c r="O83">
        <v>17714</v>
      </c>
      <c r="P83" s="5" t="str">
        <f t="shared" si="1"/>
        <v>Medium</v>
      </c>
    </row>
    <row r="84" spans="1:16" x14ac:dyDescent="0.3">
      <c r="A84" t="s">
        <v>300</v>
      </c>
      <c r="B84" t="s">
        <v>62</v>
      </c>
      <c r="C84" t="s">
        <v>63</v>
      </c>
      <c r="D84" t="s">
        <v>31</v>
      </c>
      <c r="E84" s="2" t="s">
        <v>131</v>
      </c>
      <c r="F84" s="2" t="s">
        <v>75</v>
      </c>
      <c r="G84">
        <v>71.12</v>
      </c>
      <c r="H84">
        <v>90</v>
      </c>
      <c r="I84">
        <v>85</v>
      </c>
      <c r="J84">
        <v>94.44</v>
      </c>
      <c r="K84">
        <v>7.42</v>
      </c>
      <c r="L84" s="4">
        <v>73.17</v>
      </c>
      <c r="M84" t="s">
        <v>38</v>
      </c>
      <c r="N84" t="s">
        <v>44</v>
      </c>
      <c r="O84">
        <v>12394</v>
      </c>
      <c r="P84" s="5" t="str">
        <f t="shared" si="1"/>
        <v>Medium</v>
      </c>
    </row>
    <row r="85" spans="1:16" x14ac:dyDescent="0.3">
      <c r="A85" t="s">
        <v>40</v>
      </c>
      <c r="B85" t="s">
        <v>16</v>
      </c>
      <c r="C85" t="s">
        <v>17</v>
      </c>
      <c r="D85" t="s">
        <v>25</v>
      </c>
      <c r="E85" s="2" t="s">
        <v>41</v>
      </c>
      <c r="F85" s="2" t="s">
        <v>42</v>
      </c>
      <c r="G85">
        <v>98.34</v>
      </c>
      <c r="H85">
        <v>56</v>
      </c>
      <c r="I85">
        <v>37</v>
      </c>
      <c r="J85">
        <v>66.069999999999993</v>
      </c>
      <c r="K85">
        <v>2.1</v>
      </c>
      <c r="L85" s="4">
        <v>72.64</v>
      </c>
      <c r="M85" t="s">
        <v>43</v>
      </c>
      <c r="N85" t="s">
        <v>44</v>
      </c>
      <c r="O85">
        <v>8374</v>
      </c>
      <c r="P85" s="5" t="str">
        <f t="shared" si="1"/>
        <v>Medium</v>
      </c>
    </row>
    <row r="86" spans="1:16" x14ac:dyDescent="0.3">
      <c r="A86" t="s">
        <v>76</v>
      </c>
      <c r="B86" t="s">
        <v>77</v>
      </c>
      <c r="C86" t="s">
        <v>30</v>
      </c>
      <c r="D86" t="s">
        <v>18</v>
      </c>
      <c r="E86" s="2" t="s">
        <v>78</v>
      </c>
      <c r="F86" s="2" t="s">
        <v>79</v>
      </c>
      <c r="G86">
        <v>79.55</v>
      </c>
      <c r="H86">
        <v>45</v>
      </c>
      <c r="I86">
        <v>37</v>
      </c>
      <c r="J86">
        <v>82.22</v>
      </c>
      <c r="K86">
        <v>4.5999999999999996</v>
      </c>
      <c r="L86" s="4">
        <v>72.47</v>
      </c>
      <c r="M86" t="s">
        <v>43</v>
      </c>
      <c r="N86" t="s">
        <v>39</v>
      </c>
      <c r="O86">
        <v>5390</v>
      </c>
      <c r="P86" s="5" t="str">
        <f t="shared" si="1"/>
        <v>Medium</v>
      </c>
    </row>
    <row r="87" spans="1:16" x14ac:dyDescent="0.3">
      <c r="A87" t="s">
        <v>278</v>
      </c>
      <c r="B87" t="s">
        <v>57</v>
      </c>
      <c r="C87" t="s">
        <v>24</v>
      </c>
      <c r="D87" t="s">
        <v>31</v>
      </c>
      <c r="E87" s="2" t="s">
        <v>109</v>
      </c>
      <c r="F87" s="2" t="s">
        <v>279</v>
      </c>
      <c r="G87">
        <v>87.46</v>
      </c>
      <c r="H87">
        <v>95</v>
      </c>
      <c r="I87">
        <v>75</v>
      </c>
      <c r="J87">
        <v>78.95</v>
      </c>
      <c r="K87">
        <v>2.56</v>
      </c>
      <c r="L87" s="4">
        <v>71.89</v>
      </c>
      <c r="M87" t="s">
        <v>43</v>
      </c>
      <c r="N87" t="s">
        <v>39</v>
      </c>
      <c r="O87">
        <v>5664</v>
      </c>
      <c r="P87" s="5" t="str">
        <f t="shared" si="1"/>
        <v>Medium</v>
      </c>
    </row>
    <row r="88" spans="1:16" x14ac:dyDescent="0.3">
      <c r="A88" t="s">
        <v>99</v>
      </c>
      <c r="B88" t="s">
        <v>100</v>
      </c>
      <c r="C88" t="s">
        <v>30</v>
      </c>
      <c r="D88" t="s">
        <v>50</v>
      </c>
      <c r="E88" s="2" t="s">
        <v>81</v>
      </c>
      <c r="F88" s="2" t="s">
        <v>101</v>
      </c>
      <c r="G88">
        <v>90.5</v>
      </c>
      <c r="H88">
        <v>91</v>
      </c>
      <c r="I88">
        <v>61</v>
      </c>
      <c r="J88">
        <v>67.03</v>
      </c>
      <c r="K88">
        <v>4.3</v>
      </c>
      <c r="L88" s="4">
        <v>71.86</v>
      </c>
      <c r="M88" t="s">
        <v>43</v>
      </c>
      <c r="N88" t="s">
        <v>22</v>
      </c>
      <c r="O88">
        <v>19895</v>
      </c>
      <c r="P88" s="5" t="str">
        <f t="shared" si="1"/>
        <v>Medium</v>
      </c>
    </row>
    <row r="89" spans="1:16" x14ac:dyDescent="0.3">
      <c r="A89" t="s">
        <v>345</v>
      </c>
      <c r="B89" t="s">
        <v>49</v>
      </c>
      <c r="C89" t="s">
        <v>30</v>
      </c>
      <c r="D89" t="s">
        <v>25</v>
      </c>
      <c r="E89" s="2" t="s">
        <v>346</v>
      </c>
      <c r="F89" s="2" t="s">
        <v>27</v>
      </c>
      <c r="G89">
        <v>74.48</v>
      </c>
      <c r="H89">
        <v>26</v>
      </c>
      <c r="I89">
        <v>16</v>
      </c>
      <c r="J89">
        <v>61.54</v>
      </c>
      <c r="K89">
        <v>1.42</v>
      </c>
      <c r="L89" s="4">
        <v>71.599999999999994</v>
      </c>
      <c r="M89" t="s">
        <v>28</v>
      </c>
      <c r="N89" t="s">
        <v>22</v>
      </c>
      <c r="O89">
        <v>18189</v>
      </c>
      <c r="P89" s="5" t="str">
        <f t="shared" si="1"/>
        <v>Medium</v>
      </c>
    </row>
    <row r="90" spans="1:16" x14ac:dyDescent="0.3">
      <c r="A90" t="s">
        <v>138</v>
      </c>
      <c r="B90" t="s">
        <v>57</v>
      </c>
      <c r="C90" t="s">
        <v>24</v>
      </c>
      <c r="D90" t="s">
        <v>18</v>
      </c>
      <c r="E90" s="2" t="s">
        <v>139</v>
      </c>
      <c r="F90" s="2" t="s">
        <v>140</v>
      </c>
      <c r="G90">
        <v>77.58</v>
      </c>
      <c r="H90">
        <v>100</v>
      </c>
      <c r="I90">
        <v>41</v>
      </c>
      <c r="J90">
        <v>41</v>
      </c>
      <c r="K90">
        <v>6.2</v>
      </c>
      <c r="L90" s="4">
        <v>71.31</v>
      </c>
      <c r="M90" t="s">
        <v>38</v>
      </c>
      <c r="N90" t="s">
        <v>44</v>
      </c>
      <c r="O90">
        <v>18519</v>
      </c>
      <c r="P90" s="5" t="str">
        <f t="shared" si="1"/>
        <v>Medium</v>
      </c>
    </row>
    <row r="91" spans="1:16" x14ac:dyDescent="0.3">
      <c r="A91" t="s">
        <v>48</v>
      </c>
      <c r="B91" t="s">
        <v>49</v>
      </c>
      <c r="C91" t="s">
        <v>17</v>
      </c>
      <c r="D91" t="s">
        <v>50</v>
      </c>
      <c r="E91" s="2" t="s">
        <v>51</v>
      </c>
      <c r="F91" s="2" t="s">
        <v>52</v>
      </c>
      <c r="G91">
        <v>76.67</v>
      </c>
      <c r="H91">
        <v>22</v>
      </c>
      <c r="I91">
        <v>10</v>
      </c>
      <c r="J91">
        <v>45.45</v>
      </c>
      <c r="K91">
        <v>6.34</v>
      </c>
      <c r="L91" s="4">
        <v>71.28</v>
      </c>
      <c r="M91" t="s">
        <v>21</v>
      </c>
      <c r="N91" t="s">
        <v>22</v>
      </c>
      <c r="O91">
        <v>7347</v>
      </c>
      <c r="P91" s="5" t="str">
        <f t="shared" si="1"/>
        <v>Medium</v>
      </c>
    </row>
    <row r="92" spans="1:16" x14ac:dyDescent="0.3">
      <c r="A92" t="s">
        <v>315</v>
      </c>
      <c r="B92" t="s">
        <v>84</v>
      </c>
      <c r="C92" t="s">
        <v>70</v>
      </c>
      <c r="D92" t="s">
        <v>18</v>
      </c>
      <c r="E92" s="2" t="s">
        <v>266</v>
      </c>
      <c r="F92" s="2" t="s">
        <v>316</v>
      </c>
      <c r="G92">
        <v>87.21</v>
      </c>
      <c r="H92">
        <v>86</v>
      </c>
      <c r="I92">
        <v>40</v>
      </c>
      <c r="J92">
        <v>46.51</v>
      </c>
      <c r="K92">
        <v>2.88</v>
      </c>
      <c r="L92" s="4">
        <v>71.16</v>
      </c>
      <c r="M92" t="s">
        <v>43</v>
      </c>
      <c r="N92" t="s">
        <v>22</v>
      </c>
      <c r="O92">
        <v>14182</v>
      </c>
      <c r="P92" s="5" t="str">
        <f t="shared" si="1"/>
        <v>Medium</v>
      </c>
    </row>
    <row r="93" spans="1:16" x14ac:dyDescent="0.3">
      <c r="A93" t="s">
        <v>335</v>
      </c>
      <c r="B93" t="s">
        <v>62</v>
      </c>
      <c r="C93" t="s">
        <v>30</v>
      </c>
      <c r="D93" t="s">
        <v>18</v>
      </c>
      <c r="E93" s="2" t="s">
        <v>336</v>
      </c>
      <c r="F93" s="2" t="s">
        <v>95</v>
      </c>
      <c r="G93">
        <v>70.89</v>
      </c>
      <c r="H93">
        <v>46</v>
      </c>
      <c r="I93">
        <v>31</v>
      </c>
      <c r="J93">
        <v>67.39</v>
      </c>
      <c r="K93">
        <v>6.9</v>
      </c>
      <c r="L93" s="4">
        <v>70.430000000000007</v>
      </c>
      <c r="M93" t="s">
        <v>43</v>
      </c>
      <c r="N93" t="s">
        <v>44</v>
      </c>
      <c r="O93">
        <v>14251</v>
      </c>
      <c r="P93" s="5" t="str">
        <f t="shared" si="1"/>
        <v>Medium</v>
      </c>
    </row>
    <row r="94" spans="1:16" x14ac:dyDescent="0.3">
      <c r="A94" t="s">
        <v>66</v>
      </c>
      <c r="B94" t="s">
        <v>35</v>
      </c>
      <c r="C94" t="s">
        <v>24</v>
      </c>
      <c r="D94" t="s">
        <v>50</v>
      </c>
      <c r="E94" s="2" t="s">
        <v>67</v>
      </c>
      <c r="F94" s="2" t="s">
        <v>68</v>
      </c>
      <c r="G94">
        <v>91.04</v>
      </c>
      <c r="H94">
        <v>49</v>
      </c>
      <c r="I94">
        <v>24</v>
      </c>
      <c r="J94">
        <v>48.98</v>
      </c>
      <c r="K94">
        <v>7.75</v>
      </c>
      <c r="L94" s="4">
        <v>69.34</v>
      </c>
      <c r="M94" t="s">
        <v>21</v>
      </c>
      <c r="N94" t="s">
        <v>39</v>
      </c>
      <c r="O94">
        <v>12815</v>
      </c>
      <c r="P94" s="5" t="str">
        <f t="shared" si="1"/>
        <v>Medium</v>
      </c>
    </row>
    <row r="95" spans="1:16" x14ac:dyDescent="0.3">
      <c r="A95" t="s">
        <v>164</v>
      </c>
      <c r="B95" t="s">
        <v>165</v>
      </c>
      <c r="C95" t="s">
        <v>30</v>
      </c>
      <c r="D95" t="s">
        <v>58</v>
      </c>
      <c r="E95" s="2" t="s">
        <v>120</v>
      </c>
      <c r="F95" s="2" t="s">
        <v>166</v>
      </c>
      <c r="G95">
        <v>82.96</v>
      </c>
      <c r="H95">
        <v>24</v>
      </c>
      <c r="I95">
        <v>15</v>
      </c>
      <c r="J95">
        <v>62.5</v>
      </c>
      <c r="K95">
        <v>3.49</v>
      </c>
      <c r="L95" s="4">
        <v>69</v>
      </c>
      <c r="M95" t="s">
        <v>38</v>
      </c>
      <c r="N95" t="s">
        <v>44</v>
      </c>
      <c r="O95">
        <v>7612</v>
      </c>
      <c r="P95" s="5" t="str">
        <f t="shared" si="1"/>
        <v>Medium</v>
      </c>
    </row>
    <row r="96" spans="1:16" x14ac:dyDescent="0.3">
      <c r="A96" t="s">
        <v>290</v>
      </c>
      <c r="B96" t="s">
        <v>49</v>
      </c>
      <c r="C96" t="s">
        <v>30</v>
      </c>
      <c r="D96" t="s">
        <v>58</v>
      </c>
      <c r="E96" s="2" t="s">
        <v>169</v>
      </c>
      <c r="F96" s="2" t="s">
        <v>128</v>
      </c>
      <c r="G96">
        <v>89.3</v>
      </c>
      <c r="H96">
        <v>34</v>
      </c>
      <c r="I96">
        <v>21</v>
      </c>
      <c r="J96">
        <v>61.76</v>
      </c>
      <c r="K96">
        <v>3.49</v>
      </c>
      <c r="L96" s="4">
        <v>68.84</v>
      </c>
      <c r="M96" t="s">
        <v>38</v>
      </c>
      <c r="N96" t="s">
        <v>39</v>
      </c>
      <c r="O96">
        <v>11529</v>
      </c>
      <c r="P96" s="5" t="str">
        <f t="shared" si="1"/>
        <v>Medium</v>
      </c>
    </row>
    <row r="97" spans="1:16" x14ac:dyDescent="0.3">
      <c r="A97" t="s">
        <v>220</v>
      </c>
      <c r="B97" t="s">
        <v>154</v>
      </c>
      <c r="C97" t="s">
        <v>63</v>
      </c>
      <c r="D97" t="s">
        <v>31</v>
      </c>
      <c r="E97" s="2" t="s">
        <v>131</v>
      </c>
      <c r="F97" s="2" t="s">
        <v>221</v>
      </c>
      <c r="G97">
        <v>96.56</v>
      </c>
      <c r="H97">
        <v>63</v>
      </c>
      <c r="I97">
        <v>56</v>
      </c>
      <c r="J97">
        <v>88.89</v>
      </c>
      <c r="K97">
        <v>1.5</v>
      </c>
      <c r="L97" s="4">
        <v>68.760000000000005</v>
      </c>
      <c r="M97" t="s">
        <v>21</v>
      </c>
      <c r="N97" t="s">
        <v>39</v>
      </c>
      <c r="O97">
        <v>5122</v>
      </c>
      <c r="P97" s="5" t="str">
        <f t="shared" si="1"/>
        <v>Medium</v>
      </c>
    </row>
    <row r="98" spans="1:16" x14ac:dyDescent="0.3">
      <c r="A98" t="s">
        <v>209</v>
      </c>
      <c r="B98" t="s">
        <v>100</v>
      </c>
      <c r="C98" t="s">
        <v>30</v>
      </c>
      <c r="D98" t="s">
        <v>58</v>
      </c>
      <c r="E98" s="2" t="s">
        <v>187</v>
      </c>
      <c r="F98" s="2" t="s">
        <v>210</v>
      </c>
      <c r="G98">
        <v>98.3</v>
      </c>
      <c r="H98">
        <v>49</v>
      </c>
      <c r="I98">
        <v>24</v>
      </c>
      <c r="J98">
        <v>48.98</v>
      </c>
      <c r="K98">
        <v>6.74</v>
      </c>
      <c r="L98" s="4">
        <v>68.59</v>
      </c>
      <c r="M98" t="s">
        <v>43</v>
      </c>
      <c r="N98" t="s">
        <v>39</v>
      </c>
      <c r="O98">
        <v>9665</v>
      </c>
      <c r="P98" s="5" t="str">
        <f t="shared" si="1"/>
        <v>Medium</v>
      </c>
    </row>
    <row r="99" spans="1:16" x14ac:dyDescent="0.3">
      <c r="A99" t="s">
        <v>317</v>
      </c>
      <c r="B99" t="s">
        <v>57</v>
      </c>
      <c r="C99" t="s">
        <v>30</v>
      </c>
      <c r="D99" t="s">
        <v>31</v>
      </c>
      <c r="E99" s="2" t="s">
        <v>274</v>
      </c>
      <c r="F99" s="2" t="s">
        <v>318</v>
      </c>
      <c r="G99">
        <v>87.47</v>
      </c>
      <c r="H99">
        <v>91</v>
      </c>
      <c r="I99">
        <v>19</v>
      </c>
      <c r="J99">
        <v>20.88</v>
      </c>
      <c r="K99">
        <v>4.96</v>
      </c>
      <c r="L99" s="4">
        <v>68.38</v>
      </c>
      <c r="M99" t="s">
        <v>38</v>
      </c>
      <c r="N99" t="s">
        <v>22</v>
      </c>
      <c r="O99">
        <v>12078</v>
      </c>
      <c r="P99" s="5" t="str">
        <f t="shared" si="1"/>
        <v>Medium</v>
      </c>
    </row>
    <row r="100" spans="1:16" x14ac:dyDescent="0.3">
      <c r="A100" t="s">
        <v>15</v>
      </c>
      <c r="B100" t="s">
        <v>16</v>
      </c>
      <c r="C100" t="s">
        <v>17</v>
      </c>
      <c r="D100" t="s">
        <v>18</v>
      </c>
      <c r="E100" s="2">
        <v>45763</v>
      </c>
      <c r="F100" s="2" t="s">
        <v>20</v>
      </c>
      <c r="G100">
        <v>87.04</v>
      </c>
      <c r="H100">
        <v>89</v>
      </c>
      <c r="I100">
        <v>71</v>
      </c>
      <c r="J100">
        <v>79.78</v>
      </c>
      <c r="K100">
        <v>4.29</v>
      </c>
      <c r="L100" s="4">
        <v>67.91</v>
      </c>
      <c r="M100" t="s">
        <v>21</v>
      </c>
      <c r="N100" t="s">
        <v>22</v>
      </c>
      <c r="O100">
        <v>14333</v>
      </c>
      <c r="P100" s="5" t="str">
        <f t="shared" si="1"/>
        <v>Medium</v>
      </c>
    </row>
    <row r="101" spans="1:16" x14ac:dyDescent="0.3">
      <c r="A101" t="s">
        <v>23</v>
      </c>
      <c r="B101" t="s">
        <v>16</v>
      </c>
      <c r="C101" t="s">
        <v>24</v>
      </c>
      <c r="D101" t="s">
        <v>25</v>
      </c>
      <c r="E101" s="2">
        <v>45706</v>
      </c>
      <c r="F101" s="2" t="s">
        <v>27</v>
      </c>
      <c r="G101">
        <v>98.81</v>
      </c>
      <c r="H101">
        <v>59</v>
      </c>
      <c r="I101">
        <v>41</v>
      </c>
      <c r="J101">
        <v>69.489999999999995</v>
      </c>
      <c r="K101">
        <v>1.56</v>
      </c>
      <c r="L101" s="4">
        <v>67.81</v>
      </c>
      <c r="M101" t="s">
        <v>28</v>
      </c>
      <c r="N101" t="s">
        <v>22</v>
      </c>
      <c r="O101">
        <v>9234</v>
      </c>
      <c r="P101" s="5" t="str">
        <f t="shared" si="1"/>
        <v>Medium</v>
      </c>
    </row>
    <row r="102" spans="1:16" x14ac:dyDescent="0.3">
      <c r="A102" t="s">
        <v>361</v>
      </c>
      <c r="B102" t="s">
        <v>154</v>
      </c>
      <c r="C102" t="s">
        <v>24</v>
      </c>
      <c r="D102" t="s">
        <v>25</v>
      </c>
      <c r="E102" s="2" t="s">
        <v>314</v>
      </c>
      <c r="F102" s="2" t="s">
        <v>362</v>
      </c>
      <c r="G102">
        <v>71.11</v>
      </c>
      <c r="H102">
        <v>97</v>
      </c>
      <c r="I102">
        <v>57</v>
      </c>
      <c r="J102">
        <v>58.76</v>
      </c>
      <c r="K102">
        <v>7.21</v>
      </c>
      <c r="L102" s="4">
        <v>67.7</v>
      </c>
      <c r="M102" t="s">
        <v>38</v>
      </c>
      <c r="N102" t="s">
        <v>44</v>
      </c>
      <c r="O102">
        <v>19499</v>
      </c>
      <c r="P102" s="5" t="str">
        <f t="shared" si="1"/>
        <v>Medium</v>
      </c>
    </row>
    <row r="103" spans="1:16" x14ac:dyDescent="0.3">
      <c r="A103" t="s">
        <v>226</v>
      </c>
      <c r="B103" t="s">
        <v>16</v>
      </c>
      <c r="C103" t="s">
        <v>17</v>
      </c>
      <c r="D103" t="s">
        <v>25</v>
      </c>
      <c r="E103" s="2" t="s">
        <v>227</v>
      </c>
      <c r="F103" s="2" t="s">
        <v>20</v>
      </c>
      <c r="G103">
        <v>86.85</v>
      </c>
      <c r="H103">
        <v>42</v>
      </c>
      <c r="I103">
        <v>12</v>
      </c>
      <c r="J103">
        <v>28.57</v>
      </c>
      <c r="K103">
        <v>1.47</v>
      </c>
      <c r="L103" s="4">
        <v>67.650000000000006</v>
      </c>
      <c r="M103" t="s">
        <v>43</v>
      </c>
      <c r="N103" t="s">
        <v>39</v>
      </c>
      <c r="O103">
        <v>7701</v>
      </c>
      <c r="P103" s="5" t="str">
        <f t="shared" si="1"/>
        <v>Medium</v>
      </c>
    </row>
    <row r="104" spans="1:16" x14ac:dyDescent="0.3">
      <c r="A104" t="s">
        <v>299</v>
      </c>
      <c r="B104" t="s">
        <v>49</v>
      </c>
      <c r="C104" t="s">
        <v>24</v>
      </c>
      <c r="D104" t="s">
        <v>58</v>
      </c>
      <c r="E104" s="2" t="s">
        <v>152</v>
      </c>
      <c r="F104" s="2" t="s">
        <v>129</v>
      </c>
      <c r="G104">
        <v>96.58</v>
      </c>
      <c r="H104">
        <v>70</v>
      </c>
      <c r="I104">
        <v>33</v>
      </c>
      <c r="J104">
        <v>47.14</v>
      </c>
      <c r="K104">
        <v>7.72</v>
      </c>
      <c r="L104" s="4">
        <v>67.06</v>
      </c>
      <c r="M104" t="s">
        <v>21</v>
      </c>
      <c r="N104" t="s">
        <v>22</v>
      </c>
      <c r="O104">
        <v>15979</v>
      </c>
      <c r="P104" s="5" t="str">
        <f t="shared" si="1"/>
        <v>Medium</v>
      </c>
    </row>
    <row r="105" spans="1:16" x14ac:dyDescent="0.3">
      <c r="A105" t="s">
        <v>321</v>
      </c>
      <c r="B105" t="s">
        <v>49</v>
      </c>
      <c r="C105" t="s">
        <v>30</v>
      </c>
      <c r="D105" t="s">
        <v>25</v>
      </c>
      <c r="E105" s="2" t="s">
        <v>322</v>
      </c>
      <c r="F105" s="2" t="s">
        <v>47</v>
      </c>
      <c r="G105">
        <v>74.69</v>
      </c>
      <c r="H105">
        <v>92</v>
      </c>
      <c r="I105">
        <v>18</v>
      </c>
      <c r="J105">
        <v>19.57</v>
      </c>
      <c r="K105">
        <v>5.26</v>
      </c>
      <c r="L105" s="4">
        <v>66.91</v>
      </c>
      <c r="M105" t="s">
        <v>21</v>
      </c>
      <c r="N105" t="s">
        <v>44</v>
      </c>
      <c r="O105">
        <v>8536</v>
      </c>
      <c r="P105" s="5" t="str">
        <f t="shared" si="1"/>
        <v>Medium</v>
      </c>
    </row>
    <row r="106" spans="1:16" x14ac:dyDescent="0.3">
      <c r="A106" t="s">
        <v>201</v>
      </c>
      <c r="B106" t="s">
        <v>77</v>
      </c>
      <c r="C106" t="s">
        <v>17</v>
      </c>
      <c r="D106" t="s">
        <v>31</v>
      </c>
      <c r="E106" s="2" t="s">
        <v>128</v>
      </c>
      <c r="F106" s="2" t="s">
        <v>202</v>
      </c>
      <c r="G106">
        <v>99.71</v>
      </c>
      <c r="H106">
        <v>38</v>
      </c>
      <c r="I106">
        <v>22</v>
      </c>
      <c r="J106">
        <v>57.89</v>
      </c>
      <c r="K106">
        <v>4.55</v>
      </c>
      <c r="L106" s="4">
        <v>66.88</v>
      </c>
      <c r="M106" t="s">
        <v>38</v>
      </c>
      <c r="N106" t="s">
        <v>44</v>
      </c>
      <c r="O106">
        <v>19997</v>
      </c>
      <c r="P106" s="5" t="str">
        <f t="shared" si="1"/>
        <v>Medium</v>
      </c>
    </row>
    <row r="107" spans="1:16" x14ac:dyDescent="0.3">
      <c r="A107" t="s">
        <v>251</v>
      </c>
      <c r="B107" t="s">
        <v>16</v>
      </c>
      <c r="C107" t="s">
        <v>70</v>
      </c>
      <c r="D107" t="s">
        <v>25</v>
      </c>
      <c r="E107" s="2" t="s">
        <v>122</v>
      </c>
      <c r="F107" s="2" t="s">
        <v>252</v>
      </c>
      <c r="G107">
        <v>88.36</v>
      </c>
      <c r="H107">
        <v>20</v>
      </c>
      <c r="I107">
        <v>20</v>
      </c>
      <c r="J107">
        <v>100</v>
      </c>
      <c r="K107">
        <v>4.97</v>
      </c>
      <c r="L107" s="4">
        <v>66.650000000000006</v>
      </c>
      <c r="M107" t="s">
        <v>28</v>
      </c>
      <c r="N107" t="s">
        <v>39</v>
      </c>
      <c r="O107">
        <v>16851</v>
      </c>
      <c r="P107" s="5" t="str">
        <f t="shared" si="1"/>
        <v>Medium</v>
      </c>
    </row>
    <row r="108" spans="1:16" x14ac:dyDescent="0.3">
      <c r="A108" t="s">
        <v>136</v>
      </c>
      <c r="B108" t="s">
        <v>16</v>
      </c>
      <c r="C108" t="s">
        <v>70</v>
      </c>
      <c r="D108" t="s">
        <v>31</v>
      </c>
      <c r="E108" s="2" t="s">
        <v>71</v>
      </c>
      <c r="F108" s="2" t="s">
        <v>137</v>
      </c>
      <c r="G108">
        <v>94.51</v>
      </c>
      <c r="H108">
        <v>46</v>
      </c>
      <c r="I108">
        <v>18</v>
      </c>
      <c r="J108">
        <v>39.130000000000003</v>
      </c>
      <c r="K108">
        <v>6.11</v>
      </c>
      <c r="L108" s="4">
        <v>66.41</v>
      </c>
      <c r="M108" t="s">
        <v>21</v>
      </c>
      <c r="N108" t="s">
        <v>39</v>
      </c>
      <c r="O108">
        <v>18812</v>
      </c>
      <c r="P108" s="5" t="str">
        <f t="shared" si="1"/>
        <v>Medium</v>
      </c>
    </row>
    <row r="109" spans="1:16" x14ac:dyDescent="0.3">
      <c r="A109" t="s">
        <v>283</v>
      </c>
      <c r="B109" t="s">
        <v>100</v>
      </c>
      <c r="C109" t="s">
        <v>63</v>
      </c>
      <c r="D109" t="s">
        <v>25</v>
      </c>
      <c r="E109" s="2" t="s">
        <v>284</v>
      </c>
      <c r="F109" s="2" t="s">
        <v>59</v>
      </c>
      <c r="G109">
        <v>89.73</v>
      </c>
      <c r="H109">
        <v>83</v>
      </c>
      <c r="I109">
        <v>70</v>
      </c>
      <c r="J109">
        <v>84.34</v>
      </c>
      <c r="K109">
        <v>2.99</v>
      </c>
      <c r="L109" s="4">
        <v>65.75</v>
      </c>
      <c r="M109" t="s">
        <v>21</v>
      </c>
      <c r="N109" t="s">
        <v>44</v>
      </c>
      <c r="O109">
        <v>13433</v>
      </c>
      <c r="P109" s="5" t="str">
        <f t="shared" si="1"/>
        <v>Medium</v>
      </c>
    </row>
    <row r="110" spans="1:16" x14ac:dyDescent="0.3">
      <c r="A110" t="s">
        <v>69</v>
      </c>
      <c r="B110" t="s">
        <v>49</v>
      </c>
      <c r="C110" t="s">
        <v>70</v>
      </c>
      <c r="D110" t="s">
        <v>50</v>
      </c>
      <c r="E110" s="2" t="s">
        <v>71</v>
      </c>
      <c r="F110" s="2" t="s">
        <v>72</v>
      </c>
      <c r="G110">
        <v>97.41</v>
      </c>
      <c r="H110">
        <v>48</v>
      </c>
      <c r="I110">
        <v>14</v>
      </c>
      <c r="J110">
        <v>29.17</v>
      </c>
      <c r="K110">
        <v>5.48</v>
      </c>
      <c r="L110" s="4">
        <v>65.7</v>
      </c>
      <c r="M110" t="s">
        <v>38</v>
      </c>
      <c r="N110" t="s">
        <v>39</v>
      </c>
      <c r="O110">
        <v>11990</v>
      </c>
      <c r="P110" s="5" t="str">
        <f t="shared" si="1"/>
        <v>Medium</v>
      </c>
    </row>
    <row r="111" spans="1:16" x14ac:dyDescent="0.3">
      <c r="A111" t="s">
        <v>354</v>
      </c>
      <c r="B111" t="s">
        <v>100</v>
      </c>
      <c r="C111" t="s">
        <v>63</v>
      </c>
      <c r="D111" t="s">
        <v>31</v>
      </c>
      <c r="E111" s="2" t="s">
        <v>71</v>
      </c>
      <c r="F111" s="2" t="s">
        <v>171</v>
      </c>
      <c r="G111">
        <v>95.53</v>
      </c>
      <c r="H111">
        <v>92</v>
      </c>
      <c r="I111">
        <v>85</v>
      </c>
      <c r="J111">
        <v>92.39</v>
      </c>
      <c r="K111">
        <v>5.0199999999999996</v>
      </c>
      <c r="L111" s="4">
        <v>65.44</v>
      </c>
      <c r="M111" t="s">
        <v>21</v>
      </c>
      <c r="N111" t="s">
        <v>39</v>
      </c>
      <c r="O111">
        <v>5198</v>
      </c>
      <c r="P111" s="5" t="str">
        <f t="shared" si="1"/>
        <v>Medium</v>
      </c>
    </row>
    <row r="112" spans="1:16" x14ac:dyDescent="0.3">
      <c r="A112" t="s">
        <v>234</v>
      </c>
      <c r="B112" t="s">
        <v>84</v>
      </c>
      <c r="C112" t="s">
        <v>70</v>
      </c>
      <c r="D112" t="s">
        <v>58</v>
      </c>
      <c r="E112" s="2" t="s">
        <v>235</v>
      </c>
      <c r="F112" s="2" t="s">
        <v>236</v>
      </c>
      <c r="G112">
        <v>77.540000000000006</v>
      </c>
      <c r="H112">
        <v>57</v>
      </c>
      <c r="I112">
        <v>33</v>
      </c>
      <c r="J112">
        <v>57.89</v>
      </c>
      <c r="K112">
        <v>2.88</v>
      </c>
      <c r="L112" s="4">
        <v>65.37</v>
      </c>
      <c r="M112" t="s">
        <v>43</v>
      </c>
      <c r="N112" t="s">
        <v>39</v>
      </c>
      <c r="O112">
        <v>14057</v>
      </c>
      <c r="P112" s="5" t="str">
        <f t="shared" si="1"/>
        <v>Medium</v>
      </c>
    </row>
    <row r="113" spans="1:16" x14ac:dyDescent="0.3">
      <c r="A113" t="s">
        <v>239</v>
      </c>
      <c r="B113" t="s">
        <v>100</v>
      </c>
      <c r="C113" t="s">
        <v>17</v>
      </c>
      <c r="D113" t="s">
        <v>58</v>
      </c>
      <c r="E113" s="2" t="s">
        <v>240</v>
      </c>
      <c r="F113" s="2" t="s">
        <v>241</v>
      </c>
      <c r="G113">
        <v>99.7</v>
      </c>
      <c r="H113">
        <v>86</v>
      </c>
      <c r="I113">
        <v>19</v>
      </c>
      <c r="J113">
        <v>22.09</v>
      </c>
      <c r="K113">
        <v>5.21</v>
      </c>
      <c r="L113" s="4">
        <v>65.08</v>
      </c>
      <c r="M113" t="s">
        <v>38</v>
      </c>
      <c r="N113" t="s">
        <v>22</v>
      </c>
      <c r="O113">
        <v>9206</v>
      </c>
      <c r="P113" s="5" t="str">
        <f t="shared" si="1"/>
        <v>Medium</v>
      </c>
    </row>
    <row r="114" spans="1:16" x14ac:dyDescent="0.3">
      <c r="A114" t="s">
        <v>102</v>
      </c>
      <c r="B114" t="s">
        <v>100</v>
      </c>
      <c r="C114" t="s">
        <v>17</v>
      </c>
      <c r="D114" t="s">
        <v>25</v>
      </c>
      <c r="E114" s="2" t="s">
        <v>103</v>
      </c>
      <c r="F114" s="2" t="s">
        <v>104</v>
      </c>
      <c r="G114">
        <v>79.67</v>
      </c>
      <c r="H114">
        <v>38</v>
      </c>
      <c r="I114">
        <v>17</v>
      </c>
      <c r="J114">
        <v>44.74</v>
      </c>
      <c r="K114">
        <v>7.71</v>
      </c>
      <c r="L114" s="4">
        <v>64.290000000000006</v>
      </c>
      <c r="M114" t="s">
        <v>21</v>
      </c>
      <c r="N114" t="s">
        <v>44</v>
      </c>
      <c r="O114">
        <v>18872</v>
      </c>
      <c r="P114" s="5" t="str">
        <f t="shared" si="1"/>
        <v>Medium</v>
      </c>
    </row>
    <row r="115" spans="1:16" x14ac:dyDescent="0.3">
      <c r="A115" t="s">
        <v>275</v>
      </c>
      <c r="B115" t="s">
        <v>35</v>
      </c>
      <c r="C115" t="s">
        <v>24</v>
      </c>
      <c r="D115" t="s">
        <v>31</v>
      </c>
      <c r="E115" s="2" t="s">
        <v>276</v>
      </c>
      <c r="F115" s="2" t="s">
        <v>277</v>
      </c>
      <c r="G115">
        <v>70.84</v>
      </c>
      <c r="H115">
        <v>61</v>
      </c>
      <c r="I115">
        <v>53</v>
      </c>
      <c r="J115">
        <v>86.89</v>
      </c>
      <c r="K115">
        <v>6.36</v>
      </c>
      <c r="L115" s="4">
        <v>63.77</v>
      </c>
      <c r="M115" t="s">
        <v>38</v>
      </c>
      <c r="N115" t="s">
        <v>39</v>
      </c>
      <c r="O115">
        <v>17698</v>
      </c>
      <c r="P115" s="5" t="str">
        <f t="shared" si="1"/>
        <v>Medium</v>
      </c>
    </row>
    <row r="116" spans="1:16" x14ac:dyDescent="0.3">
      <c r="A116" t="s">
        <v>343</v>
      </c>
      <c r="B116" t="s">
        <v>165</v>
      </c>
      <c r="C116" t="s">
        <v>63</v>
      </c>
      <c r="D116" t="s">
        <v>31</v>
      </c>
      <c r="E116" s="2" t="s">
        <v>68</v>
      </c>
      <c r="F116" s="2" t="s">
        <v>344</v>
      </c>
      <c r="G116">
        <v>87.48</v>
      </c>
      <c r="H116">
        <v>62</v>
      </c>
      <c r="I116">
        <v>50</v>
      </c>
      <c r="J116">
        <v>80.650000000000006</v>
      </c>
      <c r="K116">
        <v>2.15</v>
      </c>
      <c r="L116" s="4">
        <v>63.7</v>
      </c>
      <c r="M116" t="s">
        <v>28</v>
      </c>
      <c r="N116" t="s">
        <v>39</v>
      </c>
      <c r="O116">
        <v>11994</v>
      </c>
      <c r="P116" s="5" t="str">
        <f t="shared" si="1"/>
        <v>Medium</v>
      </c>
    </row>
    <row r="117" spans="1:16" x14ac:dyDescent="0.3">
      <c r="A117" t="s">
        <v>90</v>
      </c>
      <c r="B117" t="s">
        <v>57</v>
      </c>
      <c r="C117" t="s">
        <v>63</v>
      </c>
      <c r="D117" t="s">
        <v>58</v>
      </c>
      <c r="E117" s="2" t="s">
        <v>91</v>
      </c>
      <c r="F117" s="2" t="s">
        <v>92</v>
      </c>
      <c r="G117">
        <v>90.65</v>
      </c>
      <c r="H117">
        <v>61</v>
      </c>
      <c r="I117">
        <v>26</v>
      </c>
      <c r="J117">
        <v>42.62</v>
      </c>
      <c r="K117">
        <v>4.4400000000000004</v>
      </c>
      <c r="L117" s="4">
        <v>63.02</v>
      </c>
      <c r="M117" t="s">
        <v>28</v>
      </c>
      <c r="N117" t="s">
        <v>22</v>
      </c>
      <c r="O117">
        <v>12818</v>
      </c>
      <c r="P117" s="5" t="str">
        <f t="shared" si="1"/>
        <v>Medium</v>
      </c>
    </row>
    <row r="118" spans="1:16" x14ac:dyDescent="0.3">
      <c r="A118" t="s">
        <v>167</v>
      </c>
      <c r="B118" t="s">
        <v>49</v>
      </c>
      <c r="C118" t="s">
        <v>24</v>
      </c>
      <c r="D118" t="s">
        <v>31</v>
      </c>
      <c r="E118" s="2" t="s">
        <v>142</v>
      </c>
      <c r="F118" s="2" t="s">
        <v>161</v>
      </c>
      <c r="G118">
        <v>74.83</v>
      </c>
      <c r="H118">
        <v>93</v>
      </c>
      <c r="I118">
        <v>71</v>
      </c>
      <c r="J118">
        <v>76.34</v>
      </c>
      <c r="K118">
        <v>6.21</v>
      </c>
      <c r="L118" s="4">
        <v>62.27</v>
      </c>
      <c r="M118" t="s">
        <v>21</v>
      </c>
      <c r="N118" t="s">
        <v>44</v>
      </c>
      <c r="O118">
        <v>12396</v>
      </c>
      <c r="P118" s="5" t="str">
        <f t="shared" si="1"/>
        <v>Medium</v>
      </c>
    </row>
    <row r="119" spans="1:16" x14ac:dyDescent="0.3">
      <c r="A119" t="s">
        <v>223</v>
      </c>
      <c r="B119" t="s">
        <v>165</v>
      </c>
      <c r="C119" t="s">
        <v>17</v>
      </c>
      <c r="D119" t="s">
        <v>18</v>
      </c>
      <c r="E119" s="2" t="s">
        <v>224</v>
      </c>
      <c r="F119" s="2" t="s">
        <v>225</v>
      </c>
      <c r="G119">
        <v>93.83</v>
      </c>
      <c r="H119">
        <v>53</v>
      </c>
      <c r="I119">
        <v>35</v>
      </c>
      <c r="J119">
        <v>66.040000000000006</v>
      </c>
      <c r="K119">
        <v>7.81</v>
      </c>
      <c r="L119" s="4">
        <v>61.99</v>
      </c>
      <c r="M119" t="s">
        <v>43</v>
      </c>
      <c r="N119" t="s">
        <v>44</v>
      </c>
      <c r="O119">
        <v>5443</v>
      </c>
      <c r="P119" s="5" t="str">
        <f t="shared" si="1"/>
        <v>Medium</v>
      </c>
    </row>
    <row r="120" spans="1:16" x14ac:dyDescent="0.3">
      <c r="A120" t="s">
        <v>175</v>
      </c>
      <c r="B120" t="s">
        <v>16</v>
      </c>
      <c r="C120" t="s">
        <v>63</v>
      </c>
      <c r="D120" t="s">
        <v>31</v>
      </c>
      <c r="E120" s="2" t="s">
        <v>176</v>
      </c>
      <c r="F120" s="2" t="s">
        <v>64</v>
      </c>
      <c r="G120">
        <v>75.510000000000005</v>
      </c>
      <c r="H120">
        <v>93</v>
      </c>
      <c r="I120">
        <v>46</v>
      </c>
      <c r="J120">
        <v>49.46</v>
      </c>
      <c r="K120">
        <v>3.38</v>
      </c>
      <c r="L120" s="4">
        <v>61.94</v>
      </c>
      <c r="M120" t="s">
        <v>38</v>
      </c>
      <c r="N120" t="s">
        <v>22</v>
      </c>
      <c r="O120">
        <v>11046</v>
      </c>
      <c r="P120" s="5" t="str">
        <f t="shared" si="1"/>
        <v>Medium</v>
      </c>
    </row>
    <row r="121" spans="1:16" x14ac:dyDescent="0.3">
      <c r="A121" t="s">
        <v>96</v>
      </c>
      <c r="B121" t="s">
        <v>84</v>
      </c>
      <c r="C121" t="s">
        <v>63</v>
      </c>
      <c r="D121" t="s">
        <v>58</v>
      </c>
      <c r="E121" s="2" t="s">
        <v>97</v>
      </c>
      <c r="F121" s="2" t="s">
        <v>98</v>
      </c>
      <c r="G121">
        <v>73.77</v>
      </c>
      <c r="H121">
        <v>37</v>
      </c>
      <c r="I121">
        <v>35</v>
      </c>
      <c r="J121">
        <v>94.59</v>
      </c>
      <c r="K121">
        <v>2.79</v>
      </c>
      <c r="L121" s="4">
        <v>61.88</v>
      </c>
      <c r="M121" t="s">
        <v>21</v>
      </c>
      <c r="N121" t="s">
        <v>39</v>
      </c>
      <c r="O121">
        <v>5437</v>
      </c>
      <c r="P121" s="5" t="str">
        <f t="shared" si="1"/>
        <v>Medium</v>
      </c>
    </row>
    <row r="122" spans="1:16" x14ac:dyDescent="0.3">
      <c r="A122" t="s">
        <v>280</v>
      </c>
      <c r="B122" t="s">
        <v>84</v>
      </c>
      <c r="C122" t="s">
        <v>70</v>
      </c>
      <c r="D122" t="s">
        <v>31</v>
      </c>
      <c r="E122" s="2" t="s">
        <v>281</v>
      </c>
      <c r="F122" s="2" t="s">
        <v>282</v>
      </c>
      <c r="G122">
        <v>86.97</v>
      </c>
      <c r="H122">
        <v>99</v>
      </c>
      <c r="I122">
        <v>39</v>
      </c>
      <c r="J122">
        <v>39.39</v>
      </c>
      <c r="K122">
        <v>7.94</v>
      </c>
      <c r="L122" s="4">
        <v>61.66</v>
      </c>
      <c r="M122" t="s">
        <v>28</v>
      </c>
      <c r="N122" t="s">
        <v>39</v>
      </c>
      <c r="O122">
        <v>7646</v>
      </c>
      <c r="P122" s="5" t="str">
        <f t="shared" si="1"/>
        <v>Medium</v>
      </c>
    </row>
    <row r="123" spans="1:16" x14ac:dyDescent="0.3">
      <c r="A123" t="s">
        <v>162</v>
      </c>
      <c r="B123" t="s">
        <v>16</v>
      </c>
      <c r="C123" t="s">
        <v>63</v>
      </c>
      <c r="D123" t="s">
        <v>50</v>
      </c>
      <c r="E123" s="2" t="s">
        <v>19</v>
      </c>
      <c r="F123" s="2" t="s">
        <v>163</v>
      </c>
      <c r="G123">
        <v>99.65</v>
      </c>
      <c r="H123">
        <v>24</v>
      </c>
      <c r="I123">
        <v>23</v>
      </c>
      <c r="J123">
        <v>95.83</v>
      </c>
      <c r="K123">
        <v>2.17</v>
      </c>
      <c r="L123" s="4">
        <v>61.07</v>
      </c>
      <c r="M123" t="s">
        <v>43</v>
      </c>
      <c r="N123" t="s">
        <v>22</v>
      </c>
      <c r="O123">
        <v>17070</v>
      </c>
      <c r="P123" s="5" t="str">
        <f t="shared" si="1"/>
        <v>Medium</v>
      </c>
    </row>
    <row r="124" spans="1:16" x14ac:dyDescent="0.3">
      <c r="A124" t="s">
        <v>118</v>
      </c>
      <c r="B124" t="s">
        <v>49</v>
      </c>
      <c r="C124" t="s">
        <v>30</v>
      </c>
      <c r="D124" t="s">
        <v>58</v>
      </c>
      <c r="E124" s="2" t="s">
        <v>119</v>
      </c>
      <c r="F124" s="2" t="s">
        <v>120</v>
      </c>
      <c r="G124">
        <v>72.150000000000006</v>
      </c>
      <c r="H124">
        <v>85</v>
      </c>
      <c r="I124">
        <v>53</v>
      </c>
      <c r="J124">
        <v>62.35</v>
      </c>
      <c r="K124">
        <v>4.3899999999999997</v>
      </c>
      <c r="L124" s="4">
        <v>61.04</v>
      </c>
      <c r="M124" t="s">
        <v>21</v>
      </c>
      <c r="N124" t="s">
        <v>22</v>
      </c>
      <c r="O124">
        <v>6536</v>
      </c>
      <c r="P124" s="5" t="str">
        <f t="shared" si="1"/>
        <v>Medium</v>
      </c>
    </row>
    <row r="125" spans="1:16" x14ac:dyDescent="0.3">
      <c r="A125" t="s">
        <v>151</v>
      </c>
      <c r="B125" t="s">
        <v>84</v>
      </c>
      <c r="C125" t="s">
        <v>63</v>
      </c>
      <c r="D125" t="s">
        <v>50</v>
      </c>
      <c r="E125" s="2" t="s">
        <v>137</v>
      </c>
      <c r="F125" s="2" t="s">
        <v>152</v>
      </c>
      <c r="G125">
        <v>74.16</v>
      </c>
      <c r="H125">
        <v>37</v>
      </c>
      <c r="I125">
        <v>34</v>
      </c>
      <c r="J125">
        <v>91.89</v>
      </c>
      <c r="K125">
        <v>3.2</v>
      </c>
      <c r="L125" s="4">
        <v>60.83</v>
      </c>
      <c r="M125" t="s">
        <v>21</v>
      </c>
      <c r="N125" t="s">
        <v>22</v>
      </c>
      <c r="O125">
        <v>13874</v>
      </c>
      <c r="P125" s="5" t="str">
        <f t="shared" si="1"/>
        <v>Medium</v>
      </c>
    </row>
    <row r="126" spans="1:16" x14ac:dyDescent="0.3">
      <c r="A126" t="s">
        <v>305</v>
      </c>
      <c r="B126" t="s">
        <v>100</v>
      </c>
      <c r="C126" t="s">
        <v>30</v>
      </c>
      <c r="D126" t="s">
        <v>31</v>
      </c>
      <c r="E126" s="2" t="s">
        <v>107</v>
      </c>
      <c r="F126" s="2" t="s">
        <v>148</v>
      </c>
      <c r="G126">
        <v>86.24</v>
      </c>
      <c r="H126">
        <v>73</v>
      </c>
      <c r="I126">
        <v>17</v>
      </c>
      <c r="J126">
        <v>23.29</v>
      </c>
      <c r="K126">
        <v>2.2000000000000002</v>
      </c>
      <c r="L126" s="4">
        <v>60.72</v>
      </c>
      <c r="M126" t="s">
        <v>28</v>
      </c>
      <c r="N126" t="s">
        <v>22</v>
      </c>
      <c r="O126">
        <v>15940</v>
      </c>
      <c r="P126" s="5" t="str">
        <f t="shared" si="1"/>
        <v>Medium</v>
      </c>
    </row>
    <row r="127" spans="1:16" x14ac:dyDescent="0.3">
      <c r="A127" t="s">
        <v>170</v>
      </c>
      <c r="B127" t="s">
        <v>100</v>
      </c>
      <c r="C127" t="s">
        <v>70</v>
      </c>
      <c r="D127" t="s">
        <v>25</v>
      </c>
      <c r="E127" s="2" t="s">
        <v>137</v>
      </c>
      <c r="F127" s="2" t="s">
        <v>171</v>
      </c>
      <c r="G127">
        <v>86.06</v>
      </c>
      <c r="H127">
        <v>95</v>
      </c>
      <c r="I127">
        <v>32</v>
      </c>
      <c r="J127">
        <v>33.68</v>
      </c>
      <c r="K127">
        <v>5.44</v>
      </c>
      <c r="L127" s="4">
        <v>60.2</v>
      </c>
      <c r="M127" t="s">
        <v>28</v>
      </c>
      <c r="N127" t="s">
        <v>44</v>
      </c>
      <c r="O127">
        <v>11897</v>
      </c>
      <c r="P127" s="5" t="str">
        <f t="shared" si="1"/>
        <v>Medium</v>
      </c>
    </row>
    <row r="128" spans="1:16" x14ac:dyDescent="0.3">
      <c r="A128" t="s">
        <v>309</v>
      </c>
      <c r="B128" t="s">
        <v>62</v>
      </c>
      <c r="C128" t="s">
        <v>30</v>
      </c>
      <c r="D128" t="s">
        <v>58</v>
      </c>
      <c r="E128" s="2" t="s">
        <v>310</v>
      </c>
      <c r="F128" s="2" t="s">
        <v>156</v>
      </c>
      <c r="G128">
        <v>78.150000000000006</v>
      </c>
      <c r="H128">
        <v>74</v>
      </c>
      <c r="I128">
        <v>37</v>
      </c>
      <c r="J128">
        <v>50</v>
      </c>
      <c r="K128">
        <v>6.74</v>
      </c>
      <c r="L128" s="4">
        <v>59.91</v>
      </c>
      <c r="M128" t="s">
        <v>43</v>
      </c>
      <c r="N128" t="s">
        <v>39</v>
      </c>
      <c r="O128">
        <v>18042</v>
      </c>
      <c r="P128" s="5" t="str">
        <f t="shared" si="1"/>
        <v>Medium</v>
      </c>
    </row>
    <row r="129" spans="1:16" x14ac:dyDescent="0.3">
      <c r="A129" t="s">
        <v>308</v>
      </c>
      <c r="B129" t="s">
        <v>100</v>
      </c>
      <c r="C129" t="s">
        <v>70</v>
      </c>
      <c r="D129" t="s">
        <v>58</v>
      </c>
      <c r="E129" s="2" t="s">
        <v>169</v>
      </c>
      <c r="F129" s="2" t="s">
        <v>303</v>
      </c>
      <c r="G129">
        <v>86.25</v>
      </c>
      <c r="H129">
        <v>93</v>
      </c>
      <c r="I129">
        <v>68</v>
      </c>
      <c r="J129">
        <v>73.12</v>
      </c>
      <c r="K129">
        <v>1.24</v>
      </c>
      <c r="L129" s="4">
        <v>58.93</v>
      </c>
      <c r="M129" t="s">
        <v>21</v>
      </c>
      <c r="N129" t="s">
        <v>44</v>
      </c>
      <c r="O129">
        <v>16815</v>
      </c>
      <c r="P129" s="5" t="str">
        <f t="shared" si="1"/>
        <v>Medium</v>
      </c>
    </row>
    <row r="130" spans="1:16" x14ac:dyDescent="0.3">
      <c r="A130" t="s">
        <v>367</v>
      </c>
      <c r="B130" t="s">
        <v>165</v>
      </c>
      <c r="C130" t="s">
        <v>70</v>
      </c>
      <c r="D130" t="s">
        <v>58</v>
      </c>
      <c r="E130" s="2" t="s">
        <v>124</v>
      </c>
      <c r="F130" s="2" t="s">
        <v>368</v>
      </c>
      <c r="G130">
        <v>96.22</v>
      </c>
      <c r="H130">
        <v>67</v>
      </c>
      <c r="I130">
        <v>47</v>
      </c>
      <c r="J130">
        <v>70.150000000000006</v>
      </c>
      <c r="K130">
        <v>5.72</v>
      </c>
      <c r="L130" s="4">
        <v>57.99</v>
      </c>
      <c r="M130" t="s">
        <v>21</v>
      </c>
      <c r="N130" t="s">
        <v>44</v>
      </c>
      <c r="O130">
        <v>19271</v>
      </c>
      <c r="P130" s="5" t="str">
        <f t="shared" si="1"/>
        <v>Medium</v>
      </c>
    </row>
    <row r="131" spans="1:16" x14ac:dyDescent="0.3">
      <c r="A131" t="s">
        <v>245</v>
      </c>
      <c r="B131" t="s">
        <v>35</v>
      </c>
      <c r="C131" t="s">
        <v>24</v>
      </c>
      <c r="D131" t="s">
        <v>58</v>
      </c>
      <c r="E131" s="2" t="s">
        <v>246</v>
      </c>
      <c r="F131" s="2" t="s">
        <v>247</v>
      </c>
      <c r="G131">
        <v>93.21</v>
      </c>
      <c r="H131">
        <v>54</v>
      </c>
      <c r="I131">
        <v>35</v>
      </c>
      <c r="J131">
        <v>64.81</v>
      </c>
      <c r="K131">
        <v>6.16</v>
      </c>
      <c r="L131" s="4">
        <v>57.54</v>
      </c>
      <c r="M131" t="s">
        <v>21</v>
      </c>
      <c r="N131" t="s">
        <v>39</v>
      </c>
      <c r="O131">
        <v>14535</v>
      </c>
      <c r="P131" s="5" t="str">
        <f t="shared" si="1"/>
        <v>Medium</v>
      </c>
    </row>
    <row r="132" spans="1:16" x14ac:dyDescent="0.3">
      <c r="A132" t="s">
        <v>205</v>
      </c>
      <c r="B132" t="s">
        <v>100</v>
      </c>
      <c r="C132" t="s">
        <v>17</v>
      </c>
      <c r="D132" t="s">
        <v>50</v>
      </c>
      <c r="E132" s="2" t="s">
        <v>67</v>
      </c>
      <c r="F132" s="2" t="s">
        <v>150</v>
      </c>
      <c r="G132">
        <v>98.1</v>
      </c>
      <c r="H132">
        <v>31</v>
      </c>
      <c r="I132">
        <v>30</v>
      </c>
      <c r="J132">
        <v>96.77</v>
      </c>
      <c r="K132">
        <v>4.51</v>
      </c>
      <c r="L132" s="4">
        <v>57.33</v>
      </c>
      <c r="M132" t="s">
        <v>28</v>
      </c>
      <c r="N132" t="s">
        <v>44</v>
      </c>
      <c r="O132">
        <v>6090</v>
      </c>
      <c r="P132" s="5" t="str">
        <f t="shared" ref="P132:P151" si="2">IF(L131&gt;=80,"High",IF(L131&gt;=50,"Medium","Low"))</f>
        <v>Medium</v>
      </c>
    </row>
    <row r="133" spans="1:16" x14ac:dyDescent="0.3">
      <c r="A133" t="s">
        <v>319</v>
      </c>
      <c r="B133" t="s">
        <v>49</v>
      </c>
      <c r="C133" t="s">
        <v>24</v>
      </c>
      <c r="D133" t="s">
        <v>25</v>
      </c>
      <c r="E133" s="2" t="s">
        <v>173</v>
      </c>
      <c r="F133" s="2" t="s">
        <v>124</v>
      </c>
      <c r="G133">
        <v>95</v>
      </c>
      <c r="H133">
        <v>93</v>
      </c>
      <c r="I133">
        <v>59</v>
      </c>
      <c r="J133">
        <v>63.44</v>
      </c>
      <c r="K133">
        <v>2.38</v>
      </c>
      <c r="L133" s="4">
        <v>57.14</v>
      </c>
      <c r="M133" t="s">
        <v>38</v>
      </c>
      <c r="N133" t="s">
        <v>22</v>
      </c>
      <c r="O133">
        <v>18626</v>
      </c>
      <c r="P133" s="5" t="str">
        <f t="shared" si="2"/>
        <v>Medium</v>
      </c>
    </row>
    <row r="134" spans="1:16" x14ac:dyDescent="0.3">
      <c r="A134" t="s">
        <v>216</v>
      </c>
      <c r="B134" t="s">
        <v>35</v>
      </c>
      <c r="C134" t="s">
        <v>63</v>
      </c>
      <c r="D134" t="s">
        <v>31</v>
      </c>
      <c r="E134" s="2" t="s">
        <v>217</v>
      </c>
      <c r="F134" s="2" t="s">
        <v>218</v>
      </c>
      <c r="G134">
        <v>76.260000000000005</v>
      </c>
      <c r="H134">
        <v>31</v>
      </c>
      <c r="I134">
        <v>29</v>
      </c>
      <c r="J134">
        <v>93.55</v>
      </c>
      <c r="K134">
        <v>4.6100000000000003</v>
      </c>
      <c r="L134" s="4">
        <v>56.81</v>
      </c>
      <c r="M134" t="s">
        <v>38</v>
      </c>
      <c r="N134" t="s">
        <v>44</v>
      </c>
      <c r="O134">
        <v>13549</v>
      </c>
      <c r="P134" s="5" t="str">
        <f t="shared" si="2"/>
        <v>Medium</v>
      </c>
    </row>
    <row r="135" spans="1:16" x14ac:dyDescent="0.3">
      <c r="A135" t="s">
        <v>306</v>
      </c>
      <c r="B135" t="s">
        <v>57</v>
      </c>
      <c r="C135" t="s">
        <v>30</v>
      </c>
      <c r="D135" t="s">
        <v>18</v>
      </c>
      <c r="E135" s="2" t="s">
        <v>119</v>
      </c>
      <c r="F135" s="2" t="s">
        <v>199</v>
      </c>
      <c r="G135">
        <v>78.08</v>
      </c>
      <c r="H135">
        <v>45</v>
      </c>
      <c r="I135">
        <v>24</v>
      </c>
      <c r="J135">
        <v>53.33</v>
      </c>
      <c r="K135">
        <v>3.04</v>
      </c>
      <c r="L135" s="4">
        <v>56.74</v>
      </c>
      <c r="M135" t="s">
        <v>21</v>
      </c>
      <c r="N135" t="s">
        <v>22</v>
      </c>
      <c r="O135">
        <v>9039</v>
      </c>
      <c r="P135" s="5" t="str">
        <f t="shared" si="2"/>
        <v>Medium</v>
      </c>
    </row>
    <row r="136" spans="1:16" x14ac:dyDescent="0.3">
      <c r="A136" t="s">
        <v>339</v>
      </c>
      <c r="B136" t="s">
        <v>84</v>
      </c>
      <c r="C136" t="s">
        <v>63</v>
      </c>
      <c r="D136" t="s">
        <v>25</v>
      </c>
      <c r="E136" s="2" t="s">
        <v>340</v>
      </c>
      <c r="F136" s="2" t="s">
        <v>104</v>
      </c>
      <c r="G136">
        <v>94.43</v>
      </c>
      <c r="H136">
        <v>21</v>
      </c>
      <c r="I136">
        <v>15</v>
      </c>
      <c r="J136">
        <v>71.430000000000007</v>
      </c>
      <c r="K136">
        <v>4.3099999999999996</v>
      </c>
      <c r="L136" s="4">
        <v>56.61</v>
      </c>
      <c r="M136" t="s">
        <v>21</v>
      </c>
      <c r="N136" t="s">
        <v>39</v>
      </c>
      <c r="O136">
        <v>19023</v>
      </c>
      <c r="P136" s="5" t="str">
        <f t="shared" si="2"/>
        <v>Medium</v>
      </c>
    </row>
    <row r="137" spans="1:16" x14ac:dyDescent="0.3">
      <c r="A137" t="s">
        <v>285</v>
      </c>
      <c r="B137" t="s">
        <v>84</v>
      </c>
      <c r="C137" t="s">
        <v>70</v>
      </c>
      <c r="D137" t="s">
        <v>50</v>
      </c>
      <c r="E137" s="2" t="s">
        <v>286</v>
      </c>
      <c r="F137" s="2" t="s">
        <v>287</v>
      </c>
      <c r="G137">
        <v>81.72</v>
      </c>
      <c r="H137">
        <v>35</v>
      </c>
      <c r="I137">
        <v>12</v>
      </c>
      <c r="J137">
        <v>34.29</v>
      </c>
      <c r="K137">
        <v>6.09</v>
      </c>
      <c r="L137" s="4">
        <v>56.34</v>
      </c>
      <c r="M137" t="s">
        <v>28</v>
      </c>
      <c r="N137" t="s">
        <v>39</v>
      </c>
      <c r="O137">
        <v>15358</v>
      </c>
      <c r="P137" s="5" t="str">
        <f t="shared" si="2"/>
        <v>Medium</v>
      </c>
    </row>
    <row r="138" spans="1:16" x14ac:dyDescent="0.3">
      <c r="A138" t="s">
        <v>242</v>
      </c>
      <c r="B138" t="s">
        <v>100</v>
      </c>
      <c r="C138" t="s">
        <v>63</v>
      </c>
      <c r="D138" t="s">
        <v>25</v>
      </c>
      <c r="E138" s="2" t="s">
        <v>243</v>
      </c>
      <c r="F138" s="2" t="s">
        <v>244</v>
      </c>
      <c r="G138">
        <v>84.33</v>
      </c>
      <c r="H138">
        <v>46</v>
      </c>
      <c r="I138">
        <v>24</v>
      </c>
      <c r="J138">
        <v>52.17</v>
      </c>
      <c r="K138">
        <v>4.8600000000000003</v>
      </c>
      <c r="L138" s="4">
        <v>56.15</v>
      </c>
      <c r="M138" t="s">
        <v>38</v>
      </c>
      <c r="N138" t="s">
        <v>44</v>
      </c>
      <c r="O138">
        <v>9987</v>
      </c>
      <c r="P138" s="5" t="str">
        <f t="shared" si="2"/>
        <v>Medium</v>
      </c>
    </row>
    <row r="139" spans="1:16" x14ac:dyDescent="0.3">
      <c r="A139" t="s">
        <v>360</v>
      </c>
      <c r="B139" t="s">
        <v>77</v>
      </c>
      <c r="C139" t="s">
        <v>70</v>
      </c>
      <c r="D139" t="s">
        <v>18</v>
      </c>
      <c r="E139" s="2" t="s">
        <v>303</v>
      </c>
      <c r="F139" s="2" t="s">
        <v>194</v>
      </c>
      <c r="G139">
        <v>82.48</v>
      </c>
      <c r="H139">
        <v>79</v>
      </c>
      <c r="I139">
        <v>77</v>
      </c>
      <c r="J139">
        <v>97.47</v>
      </c>
      <c r="K139">
        <v>2.4900000000000002</v>
      </c>
      <c r="L139" s="4">
        <v>55.77</v>
      </c>
      <c r="M139" t="s">
        <v>28</v>
      </c>
      <c r="N139" t="s">
        <v>39</v>
      </c>
      <c r="O139">
        <v>19636</v>
      </c>
      <c r="P139" s="5" t="str">
        <f t="shared" si="2"/>
        <v>Medium</v>
      </c>
    </row>
    <row r="140" spans="1:16" x14ac:dyDescent="0.3">
      <c r="A140" t="s">
        <v>325</v>
      </c>
      <c r="B140" t="s">
        <v>16</v>
      </c>
      <c r="C140" t="s">
        <v>30</v>
      </c>
      <c r="D140" t="s">
        <v>58</v>
      </c>
      <c r="E140" s="2" t="s">
        <v>224</v>
      </c>
      <c r="F140" s="2" t="s">
        <v>173</v>
      </c>
      <c r="G140">
        <v>81.430000000000007</v>
      </c>
      <c r="H140">
        <v>71</v>
      </c>
      <c r="I140">
        <v>18</v>
      </c>
      <c r="J140">
        <v>25.35</v>
      </c>
      <c r="K140">
        <v>5</v>
      </c>
      <c r="L140" s="4">
        <v>55.32</v>
      </c>
      <c r="M140" t="s">
        <v>28</v>
      </c>
      <c r="N140" t="s">
        <v>44</v>
      </c>
      <c r="O140">
        <v>11650</v>
      </c>
      <c r="P140" s="5" t="str">
        <f t="shared" si="2"/>
        <v>Medium</v>
      </c>
    </row>
    <row r="141" spans="1:16" x14ac:dyDescent="0.3">
      <c r="A141" t="s">
        <v>29</v>
      </c>
      <c r="B141" t="s">
        <v>16</v>
      </c>
      <c r="C141" t="s">
        <v>30</v>
      </c>
      <c r="D141" t="s">
        <v>31</v>
      </c>
      <c r="E141" s="2" t="s">
        <v>32</v>
      </c>
      <c r="F141" s="2" t="s">
        <v>33</v>
      </c>
      <c r="G141">
        <v>76.06</v>
      </c>
      <c r="H141">
        <v>50</v>
      </c>
      <c r="I141">
        <v>10</v>
      </c>
      <c r="J141">
        <v>20</v>
      </c>
      <c r="K141">
        <v>6.23</v>
      </c>
      <c r="L141" s="4">
        <v>54.51</v>
      </c>
      <c r="M141" t="s">
        <v>21</v>
      </c>
      <c r="N141" t="s">
        <v>22</v>
      </c>
      <c r="O141">
        <v>12678</v>
      </c>
      <c r="P141" s="5" t="str">
        <f t="shared" si="2"/>
        <v>Medium</v>
      </c>
    </row>
    <row r="142" spans="1:16" x14ac:dyDescent="0.3">
      <c r="A142" t="s">
        <v>289</v>
      </c>
      <c r="B142" t="s">
        <v>16</v>
      </c>
      <c r="C142" t="s">
        <v>30</v>
      </c>
      <c r="D142" t="s">
        <v>31</v>
      </c>
      <c r="E142" s="2" t="s">
        <v>286</v>
      </c>
      <c r="F142" s="2" t="s">
        <v>150</v>
      </c>
      <c r="G142">
        <v>94.63</v>
      </c>
      <c r="H142">
        <v>46</v>
      </c>
      <c r="I142">
        <v>44</v>
      </c>
      <c r="J142">
        <v>95.65</v>
      </c>
      <c r="K142">
        <v>4.96</v>
      </c>
      <c r="L142" s="4">
        <v>53.22</v>
      </c>
      <c r="M142" t="s">
        <v>28</v>
      </c>
      <c r="N142" t="s">
        <v>39</v>
      </c>
      <c r="O142">
        <v>9814</v>
      </c>
      <c r="P142" s="5" t="str">
        <f t="shared" si="2"/>
        <v>Medium</v>
      </c>
    </row>
    <row r="143" spans="1:16" x14ac:dyDescent="0.3">
      <c r="A143" t="s">
        <v>214</v>
      </c>
      <c r="B143" t="s">
        <v>57</v>
      </c>
      <c r="C143" t="s">
        <v>24</v>
      </c>
      <c r="D143" t="s">
        <v>50</v>
      </c>
      <c r="E143" s="2" t="s">
        <v>128</v>
      </c>
      <c r="F143" s="2" t="s">
        <v>215</v>
      </c>
      <c r="G143">
        <v>75.16</v>
      </c>
      <c r="H143">
        <v>99</v>
      </c>
      <c r="I143">
        <v>21</v>
      </c>
      <c r="J143">
        <v>21.21</v>
      </c>
      <c r="K143">
        <v>5.71</v>
      </c>
      <c r="L143" s="4">
        <v>52.81</v>
      </c>
      <c r="M143" t="s">
        <v>38</v>
      </c>
      <c r="N143" t="s">
        <v>44</v>
      </c>
      <c r="O143">
        <v>17737</v>
      </c>
      <c r="P143" s="5" t="str">
        <f t="shared" si="2"/>
        <v>Medium</v>
      </c>
    </row>
    <row r="144" spans="1:16" x14ac:dyDescent="0.3">
      <c r="A144" t="s">
        <v>231</v>
      </c>
      <c r="B144" t="s">
        <v>165</v>
      </c>
      <c r="C144" t="s">
        <v>24</v>
      </c>
      <c r="D144" t="s">
        <v>18</v>
      </c>
      <c r="E144" s="2" t="s">
        <v>51</v>
      </c>
      <c r="F144" s="2" t="s">
        <v>60</v>
      </c>
      <c r="G144">
        <v>89.65</v>
      </c>
      <c r="H144">
        <v>70</v>
      </c>
      <c r="I144">
        <v>28</v>
      </c>
      <c r="J144">
        <v>40</v>
      </c>
      <c r="K144">
        <v>5.5</v>
      </c>
      <c r="L144" s="4">
        <v>51.97</v>
      </c>
      <c r="M144" t="s">
        <v>28</v>
      </c>
      <c r="N144" t="s">
        <v>44</v>
      </c>
      <c r="O144">
        <v>14175</v>
      </c>
      <c r="P144" s="5" t="str">
        <f t="shared" si="2"/>
        <v>Medium</v>
      </c>
    </row>
    <row r="145" spans="1:16" x14ac:dyDescent="0.3">
      <c r="A145" t="s">
        <v>144</v>
      </c>
      <c r="B145" t="s">
        <v>100</v>
      </c>
      <c r="C145" t="s">
        <v>24</v>
      </c>
      <c r="D145" t="s">
        <v>18</v>
      </c>
      <c r="E145" s="2" t="s">
        <v>124</v>
      </c>
      <c r="F145" s="2" t="s">
        <v>145</v>
      </c>
      <c r="G145">
        <v>79.37</v>
      </c>
      <c r="H145">
        <v>73</v>
      </c>
      <c r="I145">
        <v>14</v>
      </c>
      <c r="J145">
        <v>19.18</v>
      </c>
      <c r="K145">
        <v>4.0599999999999996</v>
      </c>
      <c r="L145" s="4">
        <v>51.51</v>
      </c>
      <c r="M145" t="s">
        <v>28</v>
      </c>
      <c r="N145" t="s">
        <v>39</v>
      </c>
      <c r="O145">
        <v>15589</v>
      </c>
      <c r="P145" s="5" t="str">
        <f t="shared" si="2"/>
        <v>Medium</v>
      </c>
    </row>
    <row r="146" spans="1:16" x14ac:dyDescent="0.3">
      <c r="A146" t="s">
        <v>73</v>
      </c>
      <c r="B146" t="s">
        <v>49</v>
      </c>
      <c r="C146" t="s">
        <v>63</v>
      </c>
      <c r="D146" t="s">
        <v>18</v>
      </c>
      <c r="E146" s="2" t="s">
        <v>74</v>
      </c>
      <c r="F146" s="2" t="s">
        <v>75</v>
      </c>
      <c r="G146">
        <v>88.57</v>
      </c>
      <c r="H146">
        <v>51</v>
      </c>
      <c r="I146">
        <v>13</v>
      </c>
      <c r="J146">
        <v>25.49</v>
      </c>
      <c r="K146">
        <v>7.92</v>
      </c>
      <c r="L146" s="4">
        <v>51.18</v>
      </c>
      <c r="M146" t="s">
        <v>28</v>
      </c>
      <c r="N146" t="s">
        <v>22</v>
      </c>
      <c r="O146">
        <v>5620</v>
      </c>
      <c r="P146" s="5" t="str">
        <f t="shared" si="2"/>
        <v>Medium</v>
      </c>
    </row>
    <row r="147" spans="1:16" x14ac:dyDescent="0.3">
      <c r="A147" t="s">
        <v>192</v>
      </c>
      <c r="B147" t="s">
        <v>165</v>
      </c>
      <c r="C147" t="s">
        <v>70</v>
      </c>
      <c r="D147" t="s">
        <v>18</v>
      </c>
      <c r="E147" s="2" t="s">
        <v>193</v>
      </c>
      <c r="F147" s="2" t="s">
        <v>194</v>
      </c>
      <c r="G147">
        <v>87.46</v>
      </c>
      <c r="H147">
        <v>87</v>
      </c>
      <c r="I147">
        <v>75</v>
      </c>
      <c r="J147">
        <v>86.21</v>
      </c>
      <c r="K147">
        <v>2.77</v>
      </c>
      <c r="L147" s="4">
        <v>51.08</v>
      </c>
      <c r="M147" t="s">
        <v>28</v>
      </c>
      <c r="N147" t="s">
        <v>44</v>
      </c>
      <c r="O147">
        <v>17333</v>
      </c>
      <c r="P147" s="5" t="str">
        <f t="shared" si="2"/>
        <v>Medium</v>
      </c>
    </row>
    <row r="148" spans="1:16" x14ac:dyDescent="0.3">
      <c r="A148" t="s">
        <v>337</v>
      </c>
      <c r="B148" t="s">
        <v>84</v>
      </c>
      <c r="C148" t="s">
        <v>24</v>
      </c>
      <c r="D148" t="s">
        <v>58</v>
      </c>
      <c r="E148" s="2" t="s">
        <v>338</v>
      </c>
      <c r="F148" s="2" t="s">
        <v>312</v>
      </c>
      <c r="G148">
        <v>98.11</v>
      </c>
      <c r="H148">
        <v>36</v>
      </c>
      <c r="I148">
        <v>12</v>
      </c>
      <c r="J148">
        <v>33.33</v>
      </c>
      <c r="K148">
        <v>5.2</v>
      </c>
      <c r="L148" s="4">
        <v>50.57</v>
      </c>
      <c r="M148" t="s">
        <v>43</v>
      </c>
      <c r="N148" t="s">
        <v>22</v>
      </c>
      <c r="O148">
        <v>16795</v>
      </c>
      <c r="P148" s="5" t="str">
        <f t="shared" si="2"/>
        <v>Medium</v>
      </c>
    </row>
    <row r="149" spans="1:16" x14ac:dyDescent="0.3">
      <c r="A149" t="s">
        <v>149</v>
      </c>
      <c r="B149" t="s">
        <v>84</v>
      </c>
      <c r="C149" t="s">
        <v>30</v>
      </c>
      <c r="D149" t="s">
        <v>25</v>
      </c>
      <c r="E149" s="2" t="s">
        <v>26</v>
      </c>
      <c r="F149" s="2" t="s">
        <v>150</v>
      </c>
      <c r="G149">
        <v>72.849999999999994</v>
      </c>
      <c r="H149">
        <v>60</v>
      </c>
      <c r="I149">
        <v>57</v>
      </c>
      <c r="J149">
        <v>95</v>
      </c>
      <c r="K149">
        <v>3.63</v>
      </c>
      <c r="L149" s="4">
        <v>50.51</v>
      </c>
      <c r="M149" t="s">
        <v>38</v>
      </c>
      <c r="N149" t="s">
        <v>22</v>
      </c>
      <c r="O149">
        <v>15541</v>
      </c>
      <c r="P149" s="5" t="str">
        <f t="shared" si="2"/>
        <v>Medium</v>
      </c>
    </row>
    <row r="150" spans="1:16" x14ac:dyDescent="0.3">
      <c r="A150" t="s">
        <v>237</v>
      </c>
      <c r="B150" t="s">
        <v>100</v>
      </c>
      <c r="C150" t="s">
        <v>24</v>
      </c>
      <c r="D150" t="s">
        <v>31</v>
      </c>
      <c r="E150" s="2" t="s">
        <v>238</v>
      </c>
      <c r="F150" s="2" t="s">
        <v>156</v>
      </c>
      <c r="G150">
        <v>97.48</v>
      </c>
      <c r="H150">
        <v>78</v>
      </c>
      <c r="I150">
        <v>60</v>
      </c>
      <c r="J150">
        <v>76.92</v>
      </c>
      <c r="K150">
        <v>4.3</v>
      </c>
      <c r="L150" s="4">
        <v>50.32</v>
      </c>
      <c r="M150" t="s">
        <v>28</v>
      </c>
      <c r="N150" t="s">
        <v>39</v>
      </c>
      <c r="O150">
        <v>18620</v>
      </c>
      <c r="P150" s="5" t="str">
        <f t="shared" si="2"/>
        <v>Medium</v>
      </c>
    </row>
    <row r="151" spans="1:16" x14ac:dyDescent="0.3">
      <c r="A151" t="s">
        <v>313</v>
      </c>
      <c r="B151" t="s">
        <v>16</v>
      </c>
      <c r="C151" t="s">
        <v>63</v>
      </c>
      <c r="D151" t="s">
        <v>58</v>
      </c>
      <c r="E151" s="2" t="s">
        <v>246</v>
      </c>
      <c r="F151" s="2" t="s">
        <v>314</v>
      </c>
      <c r="G151">
        <v>72.61</v>
      </c>
      <c r="H151">
        <v>66</v>
      </c>
      <c r="I151">
        <v>17</v>
      </c>
      <c r="J151">
        <v>25.76</v>
      </c>
      <c r="K151">
        <v>1.63</v>
      </c>
      <c r="L151" s="4">
        <v>50.05</v>
      </c>
      <c r="M151" t="s">
        <v>43</v>
      </c>
      <c r="N151" t="s">
        <v>44</v>
      </c>
      <c r="O151">
        <v>5451</v>
      </c>
      <c r="P151" s="5" t="str">
        <f t="shared" si="2"/>
        <v>Medium</v>
      </c>
    </row>
    <row r="152" spans="1:16" x14ac:dyDescent="0.3">
      <c r="L152" s="4"/>
    </row>
    <row r="153" spans="1:16" x14ac:dyDescent="0.3">
      <c r="K153" s="5" t="s">
        <v>397</v>
      </c>
      <c r="L153" s="5">
        <f>AVERAGE(L2:L151)</f>
        <v>75.728866666666661</v>
      </c>
    </row>
    <row r="154" spans="1:16" x14ac:dyDescent="0.3">
      <c r="K154" s="5" t="s">
        <v>398</v>
      </c>
      <c r="L154" s="5">
        <f>MAX(L2:L151)</f>
        <v>99.88</v>
      </c>
    </row>
    <row r="155" spans="1:16" x14ac:dyDescent="0.3">
      <c r="K155" s="5" t="s">
        <v>399</v>
      </c>
      <c r="L155" s="5">
        <f>MIN(L2:L151)</f>
        <v>50.05</v>
      </c>
    </row>
  </sheetData>
  <sortState xmlns:xlrd2="http://schemas.microsoft.com/office/spreadsheetml/2017/richdata2" ref="A2:P151">
    <sortCondition descending="1" ref="L2:L15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1B18-005C-4E41-A55C-51DC615F4B9F}">
  <dimension ref="A1:A19"/>
  <sheetViews>
    <sheetView workbookViewId="0">
      <selection activeCell="C23" sqref="C23"/>
    </sheetView>
  </sheetViews>
  <sheetFormatPr defaultRowHeight="14.4" x14ac:dyDescent="0.3"/>
  <sheetData>
    <row r="1" spans="1:1" x14ac:dyDescent="0.3">
      <c r="A1" s="1" t="s">
        <v>392</v>
      </c>
    </row>
    <row r="2" spans="1:1" x14ac:dyDescent="0.3">
      <c r="A2" s="1" t="s">
        <v>393</v>
      </c>
    </row>
    <row r="3" spans="1:1" x14ac:dyDescent="0.3">
      <c r="A3" t="s">
        <v>376</v>
      </c>
    </row>
    <row r="4" spans="1:1" x14ac:dyDescent="0.3">
      <c r="A4" t="s">
        <v>377</v>
      </c>
    </row>
    <row r="5" spans="1:1" x14ac:dyDescent="0.3">
      <c r="A5" t="s">
        <v>378</v>
      </c>
    </row>
    <row r="6" spans="1:1" x14ac:dyDescent="0.3">
      <c r="A6" t="s">
        <v>379</v>
      </c>
    </row>
    <row r="7" spans="1:1" x14ac:dyDescent="0.3">
      <c r="A7" t="s">
        <v>380</v>
      </c>
    </row>
    <row r="8" spans="1:1" x14ac:dyDescent="0.3">
      <c r="A8" t="s">
        <v>381</v>
      </c>
    </row>
    <row r="9" spans="1:1" x14ac:dyDescent="0.3">
      <c r="A9" s="1" t="s">
        <v>391</v>
      </c>
    </row>
    <row r="10" spans="1:1" x14ac:dyDescent="0.3">
      <c r="A10" t="s">
        <v>387</v>
      </c>
    </row>
    <row r="11" spans="1:1" x14ac:dyDescent="0.3">
      <c r="A11" t="s">
        <v>388</v>
      </c>
    </row>
    <row r="12" spans="1:1" x14ac:dyDescent="0.3">
      <c r="A12" t="s">
        <v>389</v>
      </c>
    </row>
    <row r="13" spans="1:1" x14ac:dyDescent="0.3">
      <c r="A13" t="s">
        <v>390</v>
      </c>
    </row>
    <row r="15" spans="1:1" x14ac:dyDescent="0.3">
      <c r="A15" s="1" t="s">
        <v>401</v>
      </c>
    </row>
    <row r="16" spans="1:1" x14ac:dyDescent="0.3">
      <c r="A16" t="s">
        <v>402</v>
      </c>
    </row>
    <row r="17" spans="1:1" x14ac:dyDescent="0.3">
      <c r="A17" t="s">
        <v>403</v>
      </c>
    </row>
    <row r="18" spans="1:1" x14ac:dyDescent="0.3">
      <c r="A18" t="s">
        <v>404</v>
      </c>
    </row>
    <row r="19" spans="1:1" x14ac:dyDescent="0.3">
      <c r="A19" t="s">
        <v>405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F276-61BF-433C-B851-DBD08533B270}">
  <dimension ref="A1:D9"/>
  <sheetViews>
    <sheetView workbookViewId="0">
      <selection activeCell="B11" sqref="B11"/>
    </sheetView>
  </sheetViews>
  <sheetFormatPr defaultRowHeight="14.4" x14ac:dyDescent="0.3"/>
  <sheetData>
    <row r="1" spans="1:4" x14ac:dyDescent="0.3">
      <c r="A1" s="1" t="s">
        <v>383</v>
      </c>
    </row>
    <row r="3" spans="1:4" x14ac:dyDescent="0.3">
      <c r="A3" s="3" t="s">
        <v>382</v>
      </c>
      <c r="B3" s="3"/>
      <c r="C3" s="3" t="s">
        <v>384</v>
      </c>
      <c r="D3" s="3">
        <v>75.728866666666661</v>
      </c>
    </row>
    <row r="4" spans="1:4" x14ac:dyDescent="0.3">
      <c r="A4" s="3" t="s">
        <v>386</v>
      </c>
      <c r="B4" s="3"/>
      <c r="C4" s="3">
        <v>99.88</v>
      </c>
      <c r="D4" s="3"/>
    </row>
    <row r="5" spans="1:4" x14ac:dyDescent="0.3">
      <c r="A5" s="3" t="s">
        <v>385</v>
      </c>
      <c r="B5" s="3"/>
      <c r="C5" s="3">
        <v>50.05</v>
      </c>
      <c r="D5" s="3"/>
    </row>
    <row r="7" spans="1:4" x14ac:dyDescent="0.3">
      <c r="A7" t="s">
        <v>396</v>
      </c>
    </row>
    <row r="8" spans="1:4" x14ac:dyDescent="0.3">
      <c r="A8" t="s">
        <v>395</v>
      </c>
    </row>
    <row r="9" spans="1:4" x14ac:dyDescent="0.3">
      <c r="A9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 Performance Data</vt:lpstr>
      <vt:lpstr>Preprocessing Notes</vt:lpstr>
      <vt:lpstr>EDA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Dharaniya k</cp:lastModifiedBy>
  <dcterms:created xsi:type="dcterms:W3CDTF">2026-03-17T05:51:04Z</dcterms:created>
  <dcterms:modified xsi:type="dcterms:W3CDTF">2026-03-20T13:09:53Z</dcterms:modified>
</cp:coreProperties>
</file>